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15480" windowHeight="10665" activeTab="1"/>
  </bookViews>
  <sheets>
    <sheet name="Notes" sheetId="9" r:id="rId1"/>
    <sheet name="Totals" sheetId="1" r:id="rId2"/>
    <sheet name="Detail" sheetId="2" r:id="rId3"/>
    <sheet name="Personnel" sheetId="3" r:id="rId4"/>
    <sheet name="Crew" sheetId="4" r:id="rId5"/>
    <sheet name="Comparison" sheetId="8" r:id="rId6"/>
    <sheet name="Schedule" sheetId="7" r:id="rId7"/>
    <sheet name="Assumptions" sheetId="6" r:id="rId8"/>
    <sheet name="Parameters" sheetId="5" state="hidden" r:id="rId9"/>
  </sheets>
  <externalReferences>
    <externalReference r:id="rId10"/>
  </externalReferences>
  <definedNames>
    <definedName name="_xlnm._FilterDatabase" localSheetId="4" hidden="1">Crew!$A$11:$O$149</definedName>
    <definedName name="_xlnm._FilterDatabase" localSheetId="2" hidden="1">Detail!$B$5:$I$547</definedName>
    <definedName name="Codes01">Parameters!$E$2:$E$12</definedName>
    <definedName name="Codes03">Parameters!$E$21:$E$39</definedName>
    <definedName name="Codes04">Parameters!$E$40:$E$48</definedName>
    <definedName name="Codes06">Parameters!$E$82:$E$88</definedName>
    <definedName name="Codes07">Parameters!$E$89:$E$100</definedName>
    <definedName name="Codes08">Parameters!$E$101:$E$106</definedName>
    <definedName name="Codes09">Parameters!$E$107:$E$114</definedName>
    <definedName name="Codes10">Parameters!$E$115:$E$137</definedName>
    <definedName name="Codes11">Parameters!$E$138:$E$149</definedName>
    <definedName name="Codes12">Parameters!$E$150:$E$155</definedName>
    <definedName name="Codes13">Parameters!$E$156:$E$167</definedName>
    <definedName name="Codes14">Parameters!$E$168:$E$181</definedName>
    <definedName name="Codes15">Parameters!$E$182:$E$190</definedName>
    <definedName name="Codes16">Parameters!$E$191:$E$214</definedName>
    <definedName name="Codes17">Parameters!$E$215:$E$219</definedName>
    <definedName name="Codes18">Parameters!$E$220:$E$240</definedName>
    <definedName name="Codes19">Parameters!$E$241:$E$260</definedName>
    <definedName name="Codes20">Parameters!$E$261:$E$263</definedName>
    <definedName name="Codes21">Parameters!$E$264:$E$273</definedName>
    <definedName name="Codes22">Parameters!$E$274:$E$298</definedName>
    <definedName name="Codes23">Parameters!$E$299:$E$304</definedName>
    <definedName name="Codes24">Parameters!$E$305:$E$311</definedName>
    <definedName name="Codes25">Parameters!$E$312:$E$324</definedName>
    <definedName name="Codes26">Parameters!$E$325:$E$349</definedName>
    <definedName name="Codes27">Parameters!$E$350:$E$369</definedName>
    <definedName name="Codes28">Parameters!$E$370:$E$389</definedName>
    <definedName name="Codes29">Parameters!$E$390:$E$396</definedName>
    <definedName name="Codes30">Parameters!$E$397:$E$403</definedName>
    <definedName name="Codes31">Parameters!$E$404:$E$405</definedName>
    <definedName name="Codes32">Parameters!$E$406</definedName>
    <definedName name="Currency">Totals!$F$17</definedName>
    <definedName name="Eps">Totals!$E$10</definedName>
    <definedName name="Goto03">[1]Detail!$C$30:$J$514:'[1]Detail'!$J$65</definedName>
    <definedName name="List02">Parameters!$B$5:$B$12</definedName>
    <definedName name="List05">Parameters!$B$14:$B$46</definedName>
    <definedName name="List06">Parameters!$F$82:$F$88</definedName>
    <definedName name="List07">Parameters!$F$89:$F$100</definedName>
    <definedName name="List08">Parameters!$F$101:$F$106</definedName>
    <definedName name="List09">Parameters!$F$107:$F$114</definedName>
    <definedName name="List10">Parameters!$F$115:$F$137</definedName>
    <definedName name="List11">Parameters!$F$138:$F$149</definedName>
    <definedName name="List12">Parameters!$F$150:$F$155</definedName>
    <definedName name="List13">Parameters!$F$156:$F$167</definedName>
    <definedName name="Name">Totals!$E$8</definedName>
    <definedName name="Number">Totals!$E$9</definedName>
    <definedName name="_xlnm.Print_Area" localSheetId="4">Crew!$A$1:$N$149</definedName>
    <definedName name="_xlnm.Print_Area" localSheetId="2">Detail!$A$5:$J$547</definedName>
    <definedName name="_xlnm.Print_Area" localSheetId="3">Personnel!$A$1:$AB$76</definedName>
    <definedName name="_xlnm.Print_Area" localSheetId="1">Totals!$A$1:$L$75</definedName>
    <definedName name="PrintBudget">#REF!</definedName>
    <definedName name="PrintRevenue">#REF!</definedName>
    <definedName name="SubCode">Parameters!$H$2:$H$22</definedName>
    <definedName name="Test">Parameters!#REF!</definedName>
  </definedNames>
  <calcPr calcId="145621"/>
</workbook>
</file>

<file path=xl/calcChain.xml><?xml version="1.0" encoding="utf-8"?>
<calcChain xmlns="http://schemas.openxmlformats.org/spreadsheetml/2006/main">
  <c r="I439" i="2" l="1"/>
  <c r="H439" i="2" s="1"/>
  <c r="C439" i="2"/>
  <c r="I438" i="2"/>
  <c r="H438" i="2" s="1"/>
  <c r="C438" i="2"/>
  <c r="I437" i="2"/>
  <c r="H437" i="2" s="1"/>
  <c r="C437" i="2"/>
  <c r="I436" i="2"/>
  <c r="H436" i="2" s="1"/>
  <c r="C436" i="2"/>
  <c r="I270" i="2"/>
  <c r="H270" i="2"/>
  <c r="C270" i="2"/>
  <c r="A14" i="3"/>
  <c r="AJ39" i="7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B39" i="7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L14" i="3"/>
  <c r="T14" i="3"/>
  <c r="L15" i="3"/>
  <c r="T15" i="3"/>
  <c r="L16" i="3"/>
  <c r="T16" i="3"/>
  <c r="T17" i="3"/>
  <c r="X17" i="3"/>
  <c r="T18" i="3"/>
  <c r="X18" i="3" s="1"/>
  <c r="T19" i="3"/>
  <c r="T20" i="3"/>
  <c r="X20" i="3"/>
  <c r="AB20" i="3"/>
  <c r="T21" i="3"/>
  <c r="X21" i="3"/>
  <c r="T22" i="3"/>
  <c r="T23" i="3"/>
  <c r="X23" i="3" s="1"/>
  <c r="T24" i="3"/>
  <c r="X24" i="3"/>
  <c r="T25" i="3"/>
  <c r="X25" i="3"/>
  <c r="T26" i="3"/>
  <c r="T27" i="3"/>
  <c r="T28" i="3"/>
  <c r="T29" i="3"/>
  <c r="X29" i="3"/>
  <c r="X14" i="3"/>
  <c r="X19" i="3"/>
  <c r="X22" i="3"/>
  <c r="AB22" i="3" s="1"/>
  <c r="X26" i="3"/>
  <c r="X27" i="3"/>
  <c r="Z14" i="3"/>
  <c r="AB14" i="3" s="1"/>
  <c r="Q15" i="3"/>
  <c r="Z15" i="3"/>
  <c r="Q16" i="3"/>
  <c r="Z16" i="3"/>
  <c r="Z17" i="3"/>
  <c r="Z18" i="3"/>
  <c r="Z19" i="3"/>
  <c r="Z20" i="3"/>
  <c r="Z21" i="3"/>
  <c r="Z22" i="3"/>
  <c r="Z23" i="3"/>
  <c r="Z24" i="3"/>
  <c r="AB24" i="3" s="1"/>
  <c r="Z25" i="3"/>
  <c r="Z26" i="3"/>
  <c r="Z27" i="3"/>
  <c r="Z28" i="3"/>
  <c r="Z29" i="3"/>
  <c r="V14" i="3"/>
  <c r="V15" i="3"/>
  <c r="V16" i="3"/>
  <c r="V17" i="3"/>
  <c r="AB17" i="3" s="1"/>
  <c r="V18" i="3"/>
  <c r="V19" i="3"/>
  <c r="AB19" i="3" s="1"/>
  <c r="V20" i="3"/>
  <c r="V21" i="3"/>
  <c r="V22" i="3"/>
  <c r="V23" i="3"/>
  <c r="V24" i="3"/>
  <c r="V25" i="3"/>
  <c r="V26" i="3"/>
  <c r="V27" i="3"/>
  <c r="AB27" i="3" s="1"/>
  <c r="V28" i="3"/>
  <c r="V29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L36" i="3"/>
  <c r="T36" i="3"/>
  <c r="L37" i="3"/>
  <c r="T37" i="3"/>
  <c r="L38" i="3"/>
  <c r="T38" i="3"/>
  <c r="L39" i="3"/>
  <c r="T39" i="3"/>
  <c r="L40" i="3"/>
  <c r="T40" i="3"/>
  <c r="X40" i="3"/>
  <c r="AB40" i="3"/>
  <c r="T41" i="3"/>
  <c r="X41" i="3" s="1"/>
  <c r="T42" i="3"/>
  <c r="T43" i="3"/>
  <c r="X43" i="3" s="1"/>
  <c r="T44" i="3"/>
  <c r="T45" i="3"/>
  <c r="X45" i="3" s="1"/>
  <c r="T46" i="3"/>
  <c r="T47" i="3"/>
  <c r="T48" i="3"/>
  <c r="T49" i="3"/>
  <c r="X49" i="3"/>
  <c r="T50" i="3"/>
  <c r="T51" i="3"/>
  <c r="X51" i="3"/>
  <c r="T52" i="3"/>
  <c r="T53" i="3"/>
  <c r="T54" i="3"/>
  <c r="T55" i="3"/>
  <c r="T56" i="3"/>
  <c r="T57" i="3"/>
  <c r="X57" i="3"/>
  <c r="AB57" i="3" s="1"/>
  <c r="T58" i="3"/>
  <c r="T59" i="3"/>
  <c r="X59" i="3"/>
  <c r="AB59" i="3"/>
  <c r="T60" i="3"/>
  <c r="T61" i="3"/>
  <c r="X61" i="3"/>
  <c r="AB61" i="3"/>
  <c r="T62" i="3"/>
  <c r="X62" i="3" s="1"/>
  <c r="T63" i="3"/>
  <c r="T64" i="3"/>
  <c r="X64" i="3" s="1"/>
  <c r="T65" i="3"/>
  <c r="T66" i="3"/>
  <c r="T67" i="3"/>
  <c r="T68" i="3"/>
  <c r="T69" i="3"/>
  <c r="T70" i="3"/>
  <c r="X70" i="3" s="1"/>
  <c r="T71" i="3"/>
  <c r="T72" i="3"/>
  <c r="X72" i="3" s="1"/>
  <c r="T73" i="3"/>
  <c r="X73" i="3" s="1"/>
  <c r="T74" i="3"/>
  <c r="X38" i="3"/>
  <c r="AB38" i="3" s="1"/>
  <c r="X47" i="3"/>
  <c r="AB47" i="3" s="1"/>
  <c r="X50" i="3"/>
  <c r="X52" i="3"/>
  <c r="X55" i="3"/>
  <c r="X58" i="3"/>
  <c r="X60" i="3"/>
  <c r="X66" i="3"/>
  <c r="X68" i="3"/>
  <c r="X74" i="3"/>
  <c r="Q36" i="3"/>
  <c r="Z36" i="3"/>
  <c r="Q37" i="3"/>
  <c r="Q75" i="3" s="1"/>
  <c r="Z37" i="3"/>
  <c r="Z38" i="3"/>
  <c r="Q39" i="3"/>
  <c r="Z39" i="3"/>
  <c r="Q40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AB73" i="3"/>
  <c r="Z74" i="3"/>
  <c r="V36" i="3"/>
  <c r="V37" i="3"/>
  <c r="V75" i="3"/>
  <c r="V38" i="3"/>
  <c r="V39" i="3"/>
  <c r="V40" i="3"/>
  <c r="V41" i="3"/>
  <c r="V42" i="3"/>
  <c r="V43" i="3"/>
  <c r="V44" i="3"/>
  <c r="V45" i="3"/>
  <c r="V46" i="3"/>
  <c r="V47" i="3"/>
  <c r="V48" i="3"/>
  <c r="V49" i="3"/>
  <c r="AB49" i="3" s="1"/>
  <c r="V50" i="3"/>
  <c r="V51" i="3"/>
  <c r="AB51" i="3" s="1"/>
  <c r="V52" i="3"/>
  <c r="V53" i="3"/>
  <c r="V54" i="3"/>
  <c r="V55" i="3"/>
  <c r="V56" i="3"/>
  <c r="V57" i="3"/>
  <c r="V58" i="3"/>
  <c r="AB58" i="3" s="1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AB74" i="3" s="1"/>
  <c r="E528" i="2"/>
  <c r="I528" i="2" s="1"/>
  <c r="C9" i="7"/>
  <c r="D9" i="7"/>
  <c r="E9" i="7" s="1"/>
  <c r="F9" i="7" s="1"/>
  <c r="G9" i="7" s="1"/>
  <c r="H9" i="7" s="1"/>
  <c r="I9" i="7" s="1"/>
  <c r="J9" i="7" s="1"/>
  <c r="L9" i="7"/>
  <c r="M9" i="7"/>
  <c r="N9" i="7" s="1"/>
  <c r="O9" i="7" s="1"/>
  <c r="P9" i="7" s="1"/>
  <c r="Q9" i="7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F17" i="1"/>
  <c r="J102" i="4" s="1"/>
  <c r="AB41" i="3"/>
  <c r="AB50" i="3"/>
  <c r="AB52" i="3"/>
  <c r="AB55" i="3"/>
  <c r="AB60" i="3"/>
  <c r="AB68" i="3"/>
  <c r="AB21" i="3"/>
  <c r="AB26" i="3"/>
  <c r="AB29" i="3"/>
  <c r="H8" i="1"/>
  <c r="Q74" i="3"/>
  <c r="Q73" i="3"/>
  <c r="Q72" i="3"/>
  <c r="Q71" i="3"/>
  <c r="Q70" i="3"/>
  <c r="Q69" i="3"/>
  <c r="Q68" i="3"/>
  <c r="Q67" i="3"/>
  <c r="Q66" i="3"/>
  <c r="Q65" i="3"/>
  <c r="Q64" i="3"/>
  <c r="Q63" i="3"/>
  <c r="Q62" i="3"/>
  <c r="Q61" i="3"/>
  <c r="Q60" i="3"/>
  <c r="Q59" i="3"/>
  <c r="Q58" i="3"/>
  <c r="Q57" i="3"/>
  <c r="Q56" i="3"/>
  <c r="Q55" i="3"/>
  <c r="Q54" i="3"/>
  <c r="Q53" i="3"/>
  <c r="Q52" i="3"/>
  <c r="Q51" i="3"/>
  <c r="Q50" i="3"/>
  <c r="Q49" i="3"/>
  <c r="Q48" i="3"/>
  <c r="Q47" i="3"/>
  <c r="Q46" i="3"/>
  <c r="Q45" i="3"/>
  <c r="Q44" i="3"/>
  <c r="Q43" i="3"/>
  <c r="Q42" i="3"/>
  <c r="Q41" i="3"/>
  <c r="Q38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4" i="3"/>
  <c r="J27" i="4"/>
  <c r="L27" i="4"/>
  <c r="J28" i="4"/>
  <c r="N28" i="4"/>
  <c r="O28" i="4" s="1"/>
  <c r="L28" i="4"/>
  <c r="J29" i="4"/>
  <c r="N29" i="4" s="1"/>
  <c r="O29" i="4" s="1"/>
  <c r="L29" i="4"/>
  <c r="J30" i="4"/>
  <c r="L30" i="4"/>
  <c r="N30" i="4"/>
  <c r="O30" i="4" s="1"/>
  <c r="J31" i="4"/>
  <c r="L31" i="4"/>
  <c r="N31" i="4"/>
  <c r="O31" i="4" s="1"/>
  <c r="J32" i="4"/>
  <c r="L32" i="4"/>
  <c r="J33" i="4"/>
  <c r="N33" i="4" s="1"/>
  <c r="O33" i="4" s="1"/>
  <c r="L33" i="4"/>
  <c r="J34" i="4"/>
  <c r="N34" i="4" s="1"/>
  <c r="L34" i="4"/>
  <c r="O34" i="4"/>
  <c r="J35" i="4"/>
  <c r="N35" i="4" s="1"/>
  <c r="L35" i="4"/>
  <c r="O35" i="4"/>
  <c r="J36" i="4"/>
  <c r="N36" i="4" s="1"/>
  <c r="O36" i="4" s="1"/>
  <c r="L36" i="4"/>
  <c r="J37" i="4"/>
  <c r="N37" i="4" s="1"/>
  <c r="O37" i="4" s="1"/>
  <c r="L37" i="4"/>
  <c r="J38" i="4"/>
  <c r="N38" i="4" s="1"/>
  <c r="O38" i="4" s="1"/>
  <c r="L38" i="4"/>
  <c r="J46" i="4"/>
  <c r="N46" i="4" s="1"/>
  <c r="O46" i="4" s="1"/>
  <c r="L46" i="4"/>
  <c r="J47" i="4"/>
  <c r="N47" i="4" s="1"/>
  <c r="O47" i="4" s="1"/>
  <c r="L47" i="4"/>
  <c r="J48" i="4"/>
  <c r="N48" i="4" s="1"/>
  <c r="O48" i="4" s="1"/>
  <c r="L48" i="4"/>
  <c r="J49" i="4"/>
  <c r="N49" i="4" s="1"/>
  <c r="O49" i="4" s="1"/>
  <c r="L49" i="4"/>
  <c r="J50" i="4"/>
  <c r="N50" i="4" s="1"/>
  <c r="O50" i="4" s="1"/>
  <c r="L50" i="4"/>
  <c r="J51" i="4"/>
  <c r="N51" i="4" s="1"/>
  <c r="O51" i="4" s="1"/>
  <c r="L51" i="4"/>
  <c r="J59" i="4"/>
  <c r="N59" i="4" s="1"/>
  <c r="L59" i="4"/>
  <c r="J60" i="4"/>
  <c r="J67" i="4"/>
  <c r="J69" i="4" s="1"/>
  <c r="J70" i="4" s="1"/>
  <c r="J71" i="4" s="1"/>
  <c r="L60" i="4"/>
  <c r="J61" i="4"/>
  <c r="O61" i="4"/>
  <c r="L61" i="4"/>
  <c r="N61" i="4" s="1"/>
  <c r="J62" i="4"/>
  <c r="N62" i="4" s="1"/>
  <c r="O62" i="4"/>
  <c r="L62" i="4"/>
  <c r="J63" i="4"/>
  <c r="N63" i="4" s="1"/>
  <c r="O63" i="4" s="1"/>
  <c r="L63" i="4"/>
  <c r="J64" i="4"/>
  <c r="N64" i="4" s="1"/>
  <c r="O64" i="4" s="1"/>
  <c r="L64" i="4"/>
  <c r="J65" i="4"/>
  <c r="N65" i="4" s="1"/>
  <c r="O65" i="4"/>
  <c r="L65" i="4"/>
  <c r="J66" i="4"/>
  <c r="N66" i="4" s="1"/>
  <c r="O66" i="4"/>
  <c r="L66" i="4"/>
  <c r="J74" i="4"/>
  <c r="N74" i="4" s="1"/>
  <c r="O74" i="4" s="1"/>
  <c r="L74" i="4"/>
  <c r="J75" i="4"/>
  <c r="N75" i="4" s="1"/>
  <c r="O75" i="4" s="1"/>
  <c r="L75" i="4"/>
  <c r="J76" i="4"/>
  <c r="N76" i="4" s="1"/>
  <c r="O76" i="4"/>
  <c r="L76" i="4"/>
  <c r="J77" i="4"/>
  <c r="L77" i="4"/>
  <c r="N77" i="4"/>
  <c r="O77" i="4" s="1"/>
  <c r="J78" i="4"/>
  <c r="L78" i="4"/>
  <c r="N78" i="4"/>
  <c r="O78" i="4" s="1"/>
  <c r="J79" i="4"/>
  <c r="N79" i="4" s="1"/>
  <c r="O79" i="4" s="1"/>
  <c r="L79" i="4"/>
  <c r="J80" i="4"/>
  <c r="N80" i="4" s="1"/>
  <c r="O80" i="4"/>
  <c r="L80" i="4"/>
  <c r="J81" i="4"/>
  <c r="L81" i="4"/>
  <c r="N81" i="4"/>
  <c r="O81" i="4" s="1"/>
  <c r="J82" i="4"/>
  <c r="L82" i="4"/>
  <c r="N82" i="4"/>
  <c r="O82" i="4" s="1"/>
  <c r="J83" i="4"/>
  <c r="N83" i="4" s="1"/>
  <c r="O83" i="4" s="1"/>
  <c r="L83" i="4"/>
  <c r="J84" i="4"/>
  <c r="N84" i="4" s="1"/>
  <c r="O84" i="4"/>
  <c r="L84" i="4"/>
  <c r="J85" i="4"/>
  <c r="L85" i="4"/>
  <c r="N85" i="4"/>
  <c r="O85" i="4" s="1"/>
  <c r="J86" i="4"/>
  <c r="L86" i="4"/>
  <c r="N86" i="4"/>
  <c r="O86" i="4" s="1"/>
  <c r="J87" i="4"/>
  <c r="N87" i="4" s="1"/>
  <c r="O87" i="4" s="1"/>
  <c r="L87" i="4"/>
  <c r="J88" i="4"/>
  <c r="N88" i="4" s="1"/>
  <c r="O88" i="4"/>
  <c r="L88" i="4"/>
  <c r="J89" i="4"/>
  <c r="L89" i="4"/>
  <c r="N89" i="4"/>
  <c r="O89" i="4" s="1"/>
  <c r="J90" i="4"/>
  <c r="L90" i="4"/>
  <c r="N90" i="4"/>
  <c r="O90" i="4" s="1"/>
  <c r="J91" i="4"/>
  <c r="L91" i="4"/>
  <c r="N91" i="4"/>
  <c r="O91" i="4" s="1"/>
  <c r="J92" i="4"/>
  <c r="L92" i="4"/>
  <c r="N92" i="4"/>
  <c r="O92" i="4" s="1"/>
  <c r="J93" i="4"/>
  <c r="N93" i="4" s="1"/>
  <c r="O93" i="4"/>
  <c r="L93" i="4"/>
  <c r="J94" i="4"/>
  <c r="N94" i="4" s="1"/>
  <c r="O94" i="4" s="1"/>
  <c r="L94" i="4"/>
  <c r="J95" i="4"/>
  <c r="N95" i="4" s="1"/>
  <c r="O95" i="4" s="1"/>
  <c r="L95" i="4"/>
  <c r="J96" i="4"/>
  <c r="N96" i="4" s="1"/>
  <c r="O96" i="4"/>
  <c r="L96" i="4"/>
  <c r="J105" i="4"/>
  <c r="L105" i="4"/>
  <c r="N105" i="4"/>
  <c r="O105" i="4" s="1"/>
  <c r="J106" i="4"/>
  <c r="L106" i="4"/>
  <c r="N106" i="4"/>
  <c r="O106" i="4" s="1"/>
  <c r="J107" i="4"/>
  <c r="L107" i="4"/>
  <c r="N107" i="4"/>
  <c r="O107" i="4" s="1"/>
  <c r="J108" i="4"/>
  <c r="L108" i="4"/>
  <c r="N108" i="4"/>
  <c r="O108" i="4" s="1"/>
  <c r="J109" i="4"/>
  <c r="L109" i="4"/>
  <c r="N109" i="4"/>
  <c r="O109" i="4" s="1"/>
  <c r="J110" i="4"/>
  <c r="L110" i="4"/>
  <c r="N110" i="4"/>
  <c r="O110" i="4" s="1"/>
  <c r="J111" i="4"/>
  <c r="L111" i="4"/>
  <c r="N111" i="4"/>
  <c r="O111" i="4" s="1"/>
  <c r="J112" i="4"/>
  <c r="L112" i="4"/>
  <c r="N112" i="4"/>
  <c r="O112" i="4" s="1"/>
  <c r="J113" i="4"/>
  <c r="L113" i="4"/>
  <c r="N113" i="4"/>
  <c r="O113" i="4" s="1"/>
  <c r="J114" i="4"/>
  <c r="L114" i="4"/>
  <c r="N114" i="4"/>
  <c r="O114" i="4" s="1"/>
  <c r="J115" i="4"/>
  <c r="L115" i="4"/>
  <c r="N115" i="4"/>
  <c r="O115" i="4" s="1"/>
  <c r="J104" i="4"/>
  <c r="L104" i="4"/>
  <c r="N104" i="4"/>
  <c r="J123" i="4"/>
  <c r="N123" i="4"/>
  <c r="L123" i="4"/>
  <c r="J124" i="4"/>
  <c r="L124" i="4"/>
  <c r="J125" i="4"/>
  <c r="N125" i="4" s="1"/>
  <c r="O125" i="4" s="1"/>
  <c r="L125" i="4"/>
  <c r="J126" i="4"/>
  <c r="N126" i="4" s="1"/>
  <c r="O126" i="4" s="1"/>
  <c r="L126" i="4"/>
  <c r="J127" i="4"/>
  <c r="N127" i="4" s="1"/>
  <c r="O127" i="4" s="1"/>
  <c r="L127" i="4"/>
  <c r="J128" i="4"/>
  <c r="N128" i="4" s="1"/>
  <c r="O128" i="4" s="1"/>
  <c r="L128" i="4"/>
  <c r="J137" i="4"/>
  <c r="L137" i="4"/>
  <c r="J138" i="4"/>
  <c r="N138" i="4" s="1"/>
  <c r="O138" i="4" s="1"/>
  <c r="L138" i="4"/>
  <c r="J139" i="4"/>
  <c r="N139" i="4" s="1"/>
  <c r="O139" i="4" s="1"/>
  <c r="L139" i="4"/>
  <c r="J140" i="4"/>
  <c r="L140" i="4"/>
  <c r="J141" i="4"/>
  <c r="L141" i="4"/>
  <c r="J142" i="4"/>
  <c r="N142" i="4" s="1"/>
  <c r="O142" i="4"/>
  <c r="L142" i="4"/>
  <c r="J143" i="4"/>
  <c r="N143" i="4" s="1"/>
  <c r="O143" i="4"/>
  <c r="L143" i="4"/>
  <c r="J144" i="4"/>
  <c r="L144" i="4"/>
  <c r="J145" i="4"/>
  <c r="L145" i="4"/>
  <c r="J146" i="4"/>
  <c r="N146" i="4" s="1"/>
  <c r="O146" i="4" s="1"/>
  <c r="L146" i="4"/>
  <c r="J147" i="4"/>
  <c r="N147" i="4" s="1"/>
  <c r="O147" i="4" s="1"/>
  <c r="L147" i="4"/>
  <c r="J136" i="4"/>
  <c r="J148" i="4" s="1"/>
  <c r="J150" i="4"/>
  <c r="J151" i="4" s="1"/>
  <c r="J152" i="4" s="1"/>
  <c r="L136" i="4"/>
  <c r="O59" i="4"/>
  <c r="J13" i="4"/>
  <c r="L13" i="4"/>
  <c r="N13" i="4" s="1"/>
  <c r="O13" i="4" s="1"/>
  <c r="J14" i="4"/>
  <c r="L14" i="4"/>
  <c r="J15" i="4"/>
  <c r="J20" i="4" s="1"/>
  <c r="L15" i="4"/>
  <c r="J16" i="4"/>
  <c r="N16" i="4" s="1"/>
  <c r="O16" i="4" s="1"/>
  <c r="L16" i="4"/>
  <c r="J17" i="4"/>
  <c r="L17" i="4"/>
  <c r="N17" i="4"/>
  <c r="O17" i="4" s="1"/>
  <c r="J18" i="4"/>
  <c r="L18" i="4"/>
  <c r="N18" i="4"/>
  <c r="O18" i="4" s="1"/>
  <c r="J19" i="4"/>
  <c r="L19" i="4"/>
  <c r="N11" i="4"/>
  <c r="N12" i="4" s="1"/>
  <c r="J25" i="4"/>
  <c r="A20" i="4"/>
  <c r="A39" i="4"/>
  <c r="A52" i="4"/>
  <c r="A67" i="4"/>
  <c r="A97" i="4"/>
  <c r="A116" i="4"/>
  <c r="A129" i="4"/>
  <c r="A148" i="4"/>
  <c r="J116" i="4"/>
  <c r="J97" i="4"/>
  <c r="A2" i="6"/>
  <c r="A1" i="6"/>
  <c r="R75" i="3"/>
  <c r="N75" i="3"/>
  <c r="L41" i="3"/>
  <c r="L42" i="3"/>
  <c r="L43" i="3"/>
  <c r="L44" i="3"/>
  <c r="L45" i="3"/>
  <c r="L46" i="3"/>
  <c r="L47" i="3"/>
  <c r="L48" i="3"/>
  <c r="L75" i="3" s="1"/>
  <c r="E72" i="2" s="1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17" i="3"/>
  <c r="B16" i="3"/>
  <c r="R30" i="3"/>
  <c r="N30" i="3"/>
  <c r="L18" i="3"/>
  <c r="L19" i="3"/>
  <c r="L30" i="3" s="1"/>
  <c r="L20" i="3"/>
  <c r="L21" i="3"/>
  <c r="L22" i="3"/>
  <c r="L23" i="3"/>
  <c r="L24" i="3"/>
  <c r="L25" i="3"/>
  <c r="L26" i="3"/>
  <c r="L27" i="3"/>
  <c r="L28" i="3"/>
  <c r="L29" i="3"/>
  <c r="A5" i="7"/>
  <c r="A4" i="7"/>
  <c r="A2" i="7"/>
  <c r="A1" i="7"/>
  <c r="J11" i="8"/>
  <c r="H45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13" i="8"/>
  <c r="B13" i="8"/>
  <c r="D7" i="8"/>
  <c r="D6" i="8"/>
  <c r="D3" i="8"/>
  <c r="D2" i="8"/>
  <c r="J118" i="4"/>
  <c r="J119" i="4"/>
  <c r="J120" i="4" s="1"/>
  <c r="J99" i="4"/>
  <c r="J100" i="4" s="1"/>
  <c r="J101" i="4" s="1"/>
  <c r="N44" i="4"/>
  <c r="N72" i="4"/>
  <c r="N121" i="4"/>
  <c r="L134" i="4"/>
  <c r="L102" i="4"/>
  <c r="L57" i="4"/>
  <c r="L25" i="4"/>
  <c r="Z34" i="3"/>
  <c r="V34" i="3"/>
  <c r="AB12" i="3"/>
  <c r="X12" i="3"/>
  <c r="T12" i="3"/>
  <c r="B544" i="2"/>
  <c r="I5" i="2"/>
  <c r="H5" i="2"/>
  <c r="E64" i="1"/>
  <c r="B19" i="3"/>
  <c r="I9" i="2"/>
  <c r="I20" i="2" s="1"/>
  <c r="I6" i="2" s="1"/>
  <c r="H9" i="2"/>
  <c r="C9" i="2"/>
  <c r="I14" i="2"/>
  <c r="H14" i="2"/>
  <c r="C14" i="2"/>
  <c r="D2" i="2"/>
  <c r="D1" i="2"/>
  <c r="B20" i="2"/>
  <c r="I10" i="2"/>
  <c r="H10" i="2" s="1"/>
  <c r="H20" i="2" s="1"/>
  <c r="I19" i="2"/>
  <c r="I11" i="2"/>
  <c r="I12" i="2"/>
  <c r="I13" i="2"/>
  <c r="I15" i="2"/>
  <c r="I16" i="2"/>
  <c r="I17" i="2"/>
  <c r="I18" i="2"/>
  <c r="B29" i="2"/>
  <c r="B53" i="2"/>
  <c r="I40" i="2"/>
  <c r="H40" i="2" s="1"/>
  <c r="I41" i="2"/>
  <c r="H41" i="2"/>
  <c r="I42" i="2"/>
  <c r="H42" i="2" s="1"/>
  <c r="I43" i="2"/>
  <c r="H43" i="2"/>
  <c r="I44" i="2"/>
  <c r="H44" i="2" s="1"/>
  <c r="I45" i="2"/>
  <c r="H45" i="2"/>
  <c r="I46" i="2"/>
  <c r="H46" i="2" s="1"/>
  <c r="I47" i="2"/>
  <c r="H47" i="2"/>
  <c r="I48" i="2"/>
  <c r="H48" i="2" s="1"/>
  <c r="I49" i="2"/>
  <c r="H49" i="2"/>
  <c r="I50" i="2"/>
  <c r="H50" i="2" s="1"/>
  <c r="I51" i="2"/>
  <c r="H51" i="2"/>
  <c r="I52" i="2"/>
  <c r="H52" i="2" s="1"/>
  <c r="B67" i="2"/>
  <c r="I58" i="2"/>
  <c r="H58" i="2" s="1"/>
  <c r="I59" i="2"/>
  <c r="H59" i="2" s="1"/>
  <c r="I60" i="2"/>
  <c r="I61" i="2"/>
  <c r="I62" i="2"/>
  <c r="H62" i="2" s="1"/>
  <c r="I63" i="2"/>
  <c r="H63" i="2" s="1"/>
  <c r="I64" i="2"/>
  <c r="I65" i="2"/>
  <c r="I66" i="2"/>
  <c r="H66" i="2" s="1"/>
  <c r="B76" i="2"/>
  <c r="B88" i="2"/>
  <c r="B105" i="2"/>
  <c r="B116" i="2"/>
  <c r="B129" i="2"/>
  <c r="B157" i="2"/>
  <c r="B174" i="2"/>
  <c r="B185" i="2"/>
  <c r="B202" i="2"/>
  <c r="B221" i="2"/>
  <c r="I207" i="2"/>
  <c r="I208" i="2"/>
  <c r="I221" i="2" s="1"/>
  <c r="I205" i="2" s="1"/>
  <c r="I209" i="2"/>
  <c r="I210" i="2"/>
  <c r="I211" i="2"/>
  <c r="I212" i="2"/>
  <c r="I213" i="2"/>
  <c r="I214" i="2"/>
  <c r="I215" i="2"/>
  <c r="I216" i="2"/>
  <c r="I217" i="2"/>
  <c r="I218" i="2"/>
  <c r="I219" i="2"/>
  <c r="I220" i="2"/>
  <c r="H220" i="2" s="1"/>
  <c r="H221" i="2" s="1"/>
  <c r="H205" i="2" s="1"/>
  <c r="B235" i="2"/>
  <c r="I226" i="2"/>
  <c r="I227" i="2"/>
  <c r="I228" i="2"/>
  <c r="H228" i="2" s="1"/>
  <c r="I229" i="2"/>
  <c r="I230" i="2"/>
  <c r="I231" i="2"/>
  <c r="I232" i="2"/>
  <c r="H232" i="2" s="1"/>
  <c r="I233" i="2"/>
  <c r="I234" i="2"/>
  <c r="B264" i="2"/>
  <c r="I240" i="2"/>
  <c r="H240" i="2" s="1"/>
  <c r="H264" i="2" s="1"/>
  <c r="H238" i="2" s="1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H255" i="2" s="1"/>
  <c r="I256" i="2"/>
  <c r="I257" i="2"/>
  <c r="I258" i="2"/>
  <c r="I259" i="2"/>
  <c r="H259" i="2" s="1"/>
  <c r="I260" i="2"/>
  <c r="I261" i="2"/>
  <c r="I262" i="2"/>
  <c r="I263" i="2"/>
  <c r="H263" i="2" s="1"/>
  <c r="B275" i="2"/>
  <c r="I269" i="2"/>
  <c r="I271" i="2"/>
  <c r="I275" i="2" s="1"/>
  <c r="I272" i="2"/>
  <c r="H272" i="2" s="1"/>
  <c r="I273" i="2"/>
  <c r="I274" i="2"/>
  <c r="B301" i="2"/>
  <c r="I280" i="2"/>
  <c r="I281" i="2"/>
  <c r="I282" i="2"/>
  <c r="H282" i="2" s="1"/>
  <c r="I283" i="2"/>
  <c r="H283" i="2" s="1"/>
  <c r="I284" i="2"/>
  <c r="I285" i="2"/>
  <c r="I286" i="2"/>
  <c r="H286" i="2" s="1"/>
  <c r="I287" i="2"/>
  <c r="H287" i="2" s="1"/>
  <c r="I288" i="2"/>
  <c r="I289" i="2"/>
  <c r="I290" i="2"/>
  <c r="I291" i="2"/>
  <c r="H291" i="2" s="1"/>
  <c r="I292" i="2"/>
  <c r="I293" i="2"/>
  <c r="I294" i="2"/>
  <c r="I295" i="2"/>
  <c r="H295" i="2" s="1"/>
  <c r="I296" i="2"/>
  <c r="I297" i="2"/>
  <c r="I298" i="2"/>
  <c r="I299" i="2"/>
  <c r="H299" i="2" s="1"/>
  <c r="I300" i="2"/>
  <c r="B326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B334" i="2"/>
  <c r="I331" i="2"/>
  <c r="I332" i="2"/>
  <c r="I333" i="2"/>
  <c r="B349" i="2"/>
  <c r="I339" i="2"/>
  <c r="H339" i="2" s="1"/>
  <c r="I340" i="2"/>
  <c r="I341" i="2"/>
  <c r="I342" i="2"/>
  <c r="H342" i="2" s="1"/>
  <c r="I343" i="2"/>
  <c r="H343" i="2" s="1"/>
  <c r="I344" i="2"/>
  <c r="I345" i="2"/>
  <c r="I346" i="2"/>
  <c r="H346" i="2" s="1"/>
  <c r="I347" i="2"/>
  <c r="H347" i="2" s="1"/>
  <c r="I348" i="2"/>
  <c r="B379" i="2"/>
  <c r="I354" i="2"/>
  <c r="I355" i="2"/>
  <c r="I356" i="2"/>
  <c r="I357" i="2"/>
  <c r="H357" i="2" s="1"/>
  <c r="I358" i="2"/>
  <c r="H358" i="2" s="1"/>
  <c r="I359" i="2"/>
  <c r="I360" i="2"/>
  <c r="I361" i="2"/>
  <c r="H361" i="2" s="1"/>
  <c r="I362" i="2"/>
  <c r="H362" i="2" s="1"/>
  <c r="I363" i="2"/>
  <c r="I364" i="2"/>
  <c r="I365" i="2"/>
  <c r="H365" i="2" s="1"/>
  <c r="I366" i="2"/>
  <c r="H366" i="2" s="1"/>
  <c r="I367" i="2"/>
  <c r="I368" i="2"/>
  <c r="I369" i="2"/>
  <c r="H369" i="2" s="1"/>
  <c r="I370" i="2"/>
  <c r="H370" i="2" s="1"/>
  <c r="I371" i="2"/>
  <c r="I372" i="2"/>
  <c r="I373" i="2"/>
  <c r="H373" i="2" s="1"/>
  <c r="I374" i="2"/>
  <c r="H374" i="2" s="1"/>
  <c r="I375" i="2"/>
  <c r="I376" i="2"/>
  <c r="I377" i="2"/>
  <c r="H377" i="2" s="1"/>
  <c r="I378" i="2"/>
  <c r="H378" i="2" s="1"/>
  <c r="B390" i="2"/>
  <c r="I384" i="2"/>
  <c r="I385" i="2"/>
  <c r="I386" i="2"/>
  <c r="H386" i="2" s="1"/>
  <c r="I387" i="2"/>
  <c r="I388" i="2"/>
  <c r="I389" i="2"/>
  <c r="H389" i="2" s="1"/>
  <c r="B402" i="2"/>
  <c r="I395" i="2"/>
  <c r="I396" i="2"/>
  <c r="H396" i="2" s="1"/>
  <c r="I397" i="2"/>
  <c r="H397" i="2" s="1"/>
  <c r="I398" i="2"/>
  <c r="I399" i="2"/>
  <c r="I400" i="2"/>
  <c r="H400" i="2" s="1"/>
  <c r="I401" i="2"/>
  <c r="H401" i="2" s="1"/>
  <c r="B420" i="2"/>
  <c r="I407" i="2"/>
  <c r="I408" i="2"/>
  <c r="H408" i="2" s="1"/>
  <c r="I409" i="2"/>
  <c r="I410" i="2"/>
  <c r="I411" i="2"/>
  <c r="I412" i="2"/>
  <c r="H412" i="2" s="1"/>
  <c r="I413" i="2"/>
  <c r="I414" i="2"/>
  <c r="I415" i="2"/>
  <c r="I416" i="2"/>
  <c r="H416" i="2" s="1"/>
  <c r="I417" i="2"/>
  <c r="I418" i="2"/>
  <c r="I419" i="2"/>
  <c r="B454" i="2"/>
  <c r="I425" i="2"/>
  <c r="I454" i="2" s="1"/>
  <c r="I428" i="2"/>
  <c r="I440" i="2"/>
  <c r="H440" i="2" s="1"/>
  <c r="I426" i="2"/>
  <c r="I427" i="2"/>
  <c r="I429" i="2"/>
  <c r="H429" i="2" s="1"/>
  <c r="I430" i="2"/>
  <c r="I431" i="2"/>
  <c r="I432" i="2"/>
  <c r="I433" i="2"/>
  <c r="I434" i="2"/>
  <c r="I435" i="2"/>
  <c r="I441" i="2"/>
  <c r="I442" i="2"/>
  <c r="I443" i="2"/>
  <c r="H443" i="2" s="1"/>
  <c r="I444" i="2"/>
  <c r="I445" i="2"/>
  <c r="I446" i="2"/>
  <c r="I447" i="2"/>
  <c r="H447" i="2" s="1"/>
  <c r="I448" i="2"/>
  <c r="I449" i="2"/>
  <c r="I450" i="2"/>
  <c r="I451" i="2"/>
  <c r="H451" i="2" s="1"/>
  <c r="I452" i="2"/>
  <c r="I453" i="2"/>
  <c r="B479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H471" i="2" s="1"/>
  <c r="I472" i="2"/>
  <c r="I473" i="2"/>
  <c r="I474" i="2"/>
  <c r="I475" i="2"/>
  <c r="H475" i="2" s="1"/>
  <c r="I476" i="2"/>
  <c r="I477" i="2"/>
  <c r="I478" i="2"/>
  <c r="B504" i="2"/>
  <c r="I484" i="2"/>
  <c r="I485" i="2"/>
  <c r="I486" i="2"/>
  <c r="I504" i="2" s="1"/>
  <c r="I487" i="2"/>
  <c r="I488" i="2"/>
  <c r="I489" i="2"/>
  <c r="I490" i="2"/>
  <c r="H490" i="2" s="1"/>
  <c r="I491" i="2"/>
  <c r="H491" i="2" s="1"/>
  <c r="I492" i="2"/>
  <c r="I493" i="2"/>
  <c r="I494" i="2"/>
  <c r="I495" i="2"/>
  <c r="H495" i="2" s="1"/>
  <c r="I496" i="2"/>
  <c r="I497" i="2"/>
  <c r="I498" i="2"/>
  <c r="I499" i="2"/>
  <c r="I500" i="2"/>
  <c r="I501" i="2"/>
  <c r="I502" i="2"/>
  <c r="I503" i="2"/>
  <c r="H503" i="2" s="1"/>
  <c r="H499" i="2"/>
  <c r="B516" i="2"/>
  <c r="I509" i="2"/>
  <c r="I510" i="2"/>
  <c r="H510" i="2" s="1"/>
  <c r="I511" i="2"/>
  <c r="I512" i="2"/>
  <c r="I513" i="2"/>
  <c r="H513" i="2" s="1"/>
  <c r="I514" i="2"/>
  <c r="H514" i="2" s="1"/>
  <c r="I515" i="2"/>
  <c r="H515" i="2" s="1"/>
  <c r="B529" i="2"/>
  <c r="I521" i="2"/>
  <c r="I522" i="2"/>
  <c r="I523" i="2"/>
  <c r="I524" i="2"/>
  <c r="I525" i="2"/>
  <c r="I526" i="2"/>
  <c r="I527" i="2"/>
  <c r="B536" i="2"/>
  <c r="I534" i="2"/>
  <c r="H534" i="2" s="1"/>
  <c r="I535" i="2"/>
  <c r="H535" i="2"/>
  <c r="B542" i="2"/>
  <c r="I541" i="2"/>
  <c r="I542" i="2"/>
  <c r="I538" i="2"/>
  <c r="H11" i="2"/>
  <c r="H12" i="2"/>
  <c r="H13" i="2"/>
  <c r="H15" i="2"/>
  <c r="H16" i="2"/>
  <c r="H17" i="2"/>
  <c r="H18" i="2"/>
  <c r="H19" i="2"/>
  <c r="H60" i="2"/>
  <c r="H61" i="2"/>
  <c r="H64" i="2"/>
  <c r="H65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6" i="2"/>
  <c r="H227" i="2"/>
  <c r="H229" i="2"/>
  <c r="H230" i="2"/>
  <c r="H231" i="2"/>
  <c r="H233" i="2"/>
  <c r="H234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6" i="2"/>
  <c r="H257" i="2"/>
  <c r="H258" i="2"/>
  <c r="H260" i="2"/>
  <c r="H261" i="2"/>
  <c r="H262" i="2"/>
  <c r="H269" i="2"/>
  <c r="H271" i="2"/>
  <c r="H275" i="2" s="1"/>
  <c r="H267" i="2" s="1"/>
  <c r="H273" i="2"/>
  <c r="H274" i="2"/>
  <c r="H280" i="2"/>
  <c r="H301" i="2" s="1"/>
  <c r="H278" i="2" s="1"/>
  <c r="H281" i="2"/>
  <c r="H284" i="2"/>
  <c r="H285" i="2"/>
  <c r="H288" i="2"/>
  <c r="H289" i="2"/>
  <c r="H290" i="2"/>
  <c r="H292" i="2"/>
  <c r="H293" i="2"/>
  <c r="H294" i="2"/>
  <c r="H296" i="2"/>
  <c r="H297" i="2"/>
  <c r="H298" i="2"/>
  <c r="H300" i="2"/>
  <c r="H306" i="2"/>
  <c r="H326" i="2" s="1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31" i="2"/>
  <c r="H334" i="2" s="1"/>
  <c r="H329" i="2" s="1"/>
  <c r="H332" i="2"/>
  <c r="H333" i="2"/>
  <c r="H340" i="2"/>
  <c r="H341" i="2"/>
  <c r="H344" i="2"/>
  <c r="H345" i="2"/>
  <c r="H348" i="2"/>
  <c r="H354" i="2"/>
  <c r="H379" i="2" s="1"/>
  <c r="H352" i="2" s="1"/>
  <c r="H355" i="2"/>
  <c r="H356" i="2"/>
  <c r="H359" i="2"/>
  <c r="H360" i="2"/>
  <c r="H363" i="2"/>
  <c r="H364" i="2"/>
  <c r="H367" i="2"/>
  <c r="H368" i="2"/>
  <c r="H371" i="2"/>
  <c r="H372" i="2"/>
  <c r="H375" i="2"/>
  <c r="H376" i="2"/>
  <c r="H384" i="2"/>
  <c r="H385" i="2"/>
  <c r="H387" i="2"/>
  <c r="H388" i="2"/>
  <c r="H395" i="2"/>
  <c r="H398" i="2"/>
  <c r="H399" i="2"/>
  <c r="H407" i="2"/>
  <c r="H420" i="2" s="1"/>
  <c r="H405" i="2" s="1"/>
  <c r="H409" i="2"/>
  <c r="H410" i="2"/>
  <c r="H411" i="2"/>
  <c r="H413" i="2"/>
  <c r="H414" i="2"/>
  <c r="H415" i="2"/>
  <c r="H417" i="2"/>
  <c r="H418" i="2"/>
  <c r="H419" i="2"/>
  <c r="H425" i="2"/>
  <c r="H426" i="2"/>
  <c r="H427" i="2"/>
  <c r="H454" i="2" s="1"/>
  <c r="H423" i="2" s="1"/>
  <c r="H428" i="2"/>
  <c r="H430" i="2"/>
  <c r="H431" i="2"/>
  <c r="H432" i="2"/>
  <c r="H433" i="2"/>
  <c r="H434" i="2"/>
  <c r="H435" i="2"/>
  <c r="H441" i="2"/>
  <c r="H442" i="2"/>
  <c r="H444" i="2"/>
  <c r="H445" i="2"/>
  <c r="H446" i="2"/>
  <c r="H448" i="2"/>
  <c r="H449" i="2"/>
  <c r="H450" i="2"/>
  <c r="H452" i="2"/>
  <c r="H453" i="2"/>
  <c r="H459" i="2"/>
  <c r="H479" i="2" s="1"/>
  <c r="H457" i="2" s="1"/>
  <c r="H460" i="2"/>
  <c r="H461" i="2"/>
  <c r="H462" i="2"/>
  <c r="H463" i="2"/>
  <c r="H464" i="2"/>
  <c r="H465" i="2"/>
  <c r="H466" i="2"/>
  <c r="H467" i="2"/>
  <c r="H468" i="2"/>
  <c r="H469" i="2"/>
  <c r="H470" i="2"/>
  <c r="H472" i="2"/>
  <c r="H473" i="2"/>
  <c r="H474" i="2"/>
  <c r="H476" i="2"/>
  <c r="H477" i="2"/>
  <c r="H478" i="2"/>
  <c r="H484" i="2"/>
  <c r="H485" i="2"/>
  <c r="H486" i="2"/>
  <c r="H488" i="2"/>
  <c r="H489" i="2"/>
  <c r="H492" i="2"/>
  <c r="H493" i="2"/>
  <c r="H494" i="2"/>
  <c r="H496" i="2"/>
  <c r="H497" i="2"/>
  <c r="H498" i="2"/>
  <c r="H500" i="2"/>
  <c r="H501" i="2"/>
  <c r="H502" i="2"/>
  <c r="H509" i="2"/>
  <c r="H516" i="2" s="1"/>
  <c r="H507" i="2" s="1"/>
  <c r="H511" i="2"/>
  <c r="H512" i="2"/>
  <c r="H521" i="2"/>
  <c r="H529" i="2" s="1"/>
  <c r="H519" i="2" s="1"/>
  <c r="H522" i="2"/>
  <c r="H523" i="2"/>
  <c r="H524" i="2"/>
  <c r="H525" i="2"/>
  <c r="H526" i="2"/>
  <c r="H527" i="2"/>
  <c r="H528" i="2"/>
  <c r="H541" i="2"/>
  <c r="H542" i="2" s="1"/>
  <c r="H539" i="2" s="1"/>
  <c r="C528" i="2"/>
  <c r="G17" i="1"/>
  <c r="C499" i="2"/>
  <c r="C500" i="2"/>
  <c r="C501" i="2"/>
  <c r="C502" i="2"/>
  <c r="C449" i="2"/>
  <c r="C450" i="2"/>
  <c r="C451" i="2"/>
  <c r="C452" i="2"/>
  <c r="C259" i="2"/>
  <c r="C260" i="2"/>
  <c r="C261" i="2"/>
  <c r="C262" i="2"/>
  <c r="C210" i="2"/>
  <c r="C211" i="2"/>
  <c r="C212" i="2"/>
  <c r="C213" i="2"/>
  <c r="C214" i="2"/>
  <c r="C215" i="2"/>
  <c r="C216" i="2"/>
  <c r="C217" i="2"/>
  <c r="C218" i="2"/>
  <c r="C219" i="2"/>
  <c r="C47" i="2"/>
  <c r="C48" i="2"/>
  <c r="C49" i="2"/>
  <c r="C50" i="2"/>
  <c r="C51" i="2"/>
  <c r="C52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41" i="2"/>
  <c r="C342" i="2"/>
  <c r="C343" i="2"/>
  <c r="C344" i="2"/>
  <c r="C345" i="2"/>
  <c r="C346" i="2"/>
  <c r="C347" i="2"/>
  <c r="C348" i="2"/>
  <c r="G88" i="5"/>
  <c r="A19" i="4"/>
  <c r="G87" i="5"/>
  <c r="A18" i="4"/>
  <c r="G86" i="5"/>
  <c r="A17" i="4"/>
  <c r="G85" i="5"/>
  <c r="A16" i="4"/>
  <c r="G84" i="5"/>
  <c r="A15" i="4" s="1"/>
  <c r="G83" i="5"/>
  <c r="A14" i="4"/>
  <c r="G82" i="5"/>
  <c r="A13" i="4" s="1"/>
  <c r="G167" i="5"/>
  <c r="A147" i="4"/>
  <c r="G166" i="5"/>
  <c r="A146" i="4" s="1"/>
  <c r="G165" i="5"/>
  <c r="A145" i="4"/>
  <c r="G164" i="5"/>
  <c r="A144" i="4" s="1"/>
  <c r="G163" i="5"/>
  <c r="A143" i="4"/>
  <c r="G162" i="5"/>
  <c r="A142" i="4" s="1"/>
  <c r="G161" i="5"/>
  <c r="A141" i="4"/>
  <c r="G160" i="5"/>
  <c r="A140" i="4" s="1"/>
  <c r="B140" i="4" s="1"/>
  <c r="G159" i="5"/>
  <c r="A139" i="4"/>
  <c r="G158" i="5"/>
  <c r="A138" i="4"/>
  <c r="G157" i="5"/>
  <c r="A137" i="4" s="1"/>
  <c r="B138" i="4" s="1"/>
  <c r="G156" i="5"/>
  <c r="A136" i="4"/>
  <c r="G155" i="5"/>
  <c r="A128" i="4"/>
  <c r="G154" i="5"/>
  <c r="A127" i="4"/>
  <c r="G153" i="5"/>
  <c r="A126" i="4"/>
  <c r="G152" i="5"/>
  <c r="A125" i="4"/>
  <c r="G151" i="5"/>
  <c r="A124" i="4"/>
  <c r="B124" i="4" s="1"/>
  <c r="G150" i="5"/>
  <c r="A123" i="4" s="1"/>
  <c r="G149" i="5"/>
  <c r="A115" i="4"/>
  <c r="G148" i="5"/>
  <c r="A114" i="4"/>
  <c r="G147" i="5"/>
  <c r="A113" i="4"/>
  <c r="G146" i="5"/>
  <c r="A112" i="4"/>
  <c r="G145" i="5"/>
  <c r="A111" i="4"/>
  <c r="G144" i="5"/>
  <c r="A110" i="4"/>
  <c r="G143" i="5"/>
  <c r="A109" i="4"/>
  <c r="G142" i="5"/>
  <c r="A108" i="4"/>
  <c r="G141" i="5"/>
  <c r="A107" i="4"/>
  <c r="G140" i="5"/>
  <c r="A106" i="4"/>
  <c r="G139" i="5"/>
  <c r="A105" i="4"/>
  <c r="G138" i="5"/>
  <c r="A104" i="4"/>
  <c r="G137" i="5"/>
  <c r="A96" i="4"/>
  <c r="G136" i="5"/>
  <c r="A95" i="4"/>
  <c r="G135" i="5"/>
  <c r="A94" i="4"/>
  <c r="G134" i="5"/>
  <c r="A93" i="4"/>
  <c r="G133" i="5"/>
  <c r="A92" i="4"/>
  <c r="G132" i="5"/>
  <c r="A91" i="4"/>
  <c r="G131" i="5"/>
  <c r="A90" i="4"/>
  <c r="G130" i="5"/>
  <c r="A89" i="4"/>
  <c r="G129" i="5"/>
  <c r="A88" i="4"/>
  <c r="G128" i="5"/>
  <c r="A87" i="4"/>
  <c r="G127" i="5"/>
  <c r="A86" i="4"/>
  <c r="G126" i="5"/>
  <c r="A85" i="4"/>
  <c r="G125" i="5"/>
  <c r="A84" i="4"/>
  <c r="G124" i="5"/>
  <c r="A83" i="4"/>
  <c r="G123" i="5"/>
  <c r="A82" i="4"/>
  <c r="G122" i="5"/>
  <c r="A81" i="4"/>
  <c r="G121" i="5"/>
  <c r="A80" i="4"/>
  <c r="G120" i="5"/>
  <c r="A79" i="4"/>
  <c r="G119" i="5"/>
  <c r="A78" i="4"/>
  <c r="G118" i="5"/>
  <c r="A77" i="4"/>
  <c r="G117" i="5"/>
  <c r="A76" i="4"/>
  <c r="G116" i="5"/>
  <c r="A75" i="4"/>
  <c r="G115" i="5"/>
  <c r="A74" i="4"/>
  <c r="B74" i="4" s="1"/>
  <c r="G114" i="5"/>
  <c r="A66" i="4" s="1"/>
  <c r="G113" i="5"/>
  <c r="A65" i="4" s="1"/>
  <c r="G112" i="5"/>
  <c r="A64" i="4" s="1"/>
  <c r="G111" i="5"/>
  <c r="A63" i="4" s="1"/>
  <c r="G110" i="5"/>
  <c r="A62" i="4" s="1"/>
  <c r="G109" i="5"/>
  <c r="A61" i="4" s="1"/>
  <c r="G108" i="5"/>
  <c r="A60" i="4" s="1"/>
  <c r="G107" i="5"/>
  <c r="A59" i="4" s="1"/>
  <c r="B59" i="4" s="1"/>
  <c r="G106" i="5"/>
  <c r="A51" i="4"/>
  <c r="G105" i="5"/>
  <c r="A50" i="4"/>
  <c r="G104" i="5"/>
  <c r="A49" i="4"/>
  <c r="G103" i="5"/>
  <c r="A48" i="4"/>
  <c r="B48" i="4" s="1"/>
  <c r="A46" i="4"/>
  <c r="G102" i="5"/>
  <c r="A47" i="4"/>
  <c r="G101" i="5"/>
  <c r="B46" i="4"/>
  <c r="G100" i="5"/>
  <c r="A38" i="4"/>
  <c r="G99" i="5"/>
  <c r="A37" i="4"/>
  <c r="G98" i="5"/>
  <c r="A36" i="4"/>
  <c r="G97" i="5"/>
  <c r="A35" i="4"/>
  <c r="G96" i="5"/>
  <c r="A34" i="4"/>
  <c r="G95" i="5"/>
  <c r="A33" i="4"/>
  <c r="G94" i="5"/>
  <c r="A32" i="4"/>
  <c r="G93" i="5"/>
  <c r="A31" i="4"/>
  <c r="G92" i="5"/>
  <c r="A30" i="4"/>
  <c r="G91" i="5"/>
  <c r="A29" i="4"/>
  <c r="B29" i="4" s="1"/>
  <c r="A27" i="4"/>
  <c r="G90" i="5"/>
  <c r="A28" i="4"/>
  <c r="G89" i="5"/>
  <c r="B27" i="4"/>
  <c r="L148" i="4"/>
  <c r="L129" i="4"/>
  <c r="L116" i="4"/>
  <c r="L97" i="4"/>
  <c r="L67" i="4"/>
  <c r="L52" i="4"/>
  <c r="L39" i="4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2" i="5"/>
  <c r="C5" i="4"/>
  <c r="C4" i="4"/>
  <c r="C3" i="4"/>
  <c r="C492" i="2"/>
  <c r="C434" i="2"/>
  <c r="C435" i="2"/>
  <c r="C440" i="2"/>
  <c r="C441" i="2"/>
  <c r="C442" i="2"/>
  <c r="C443" i="2"/>
  <c r="C444" i="2"/>
  <c r="C445" i="2"/>
  <c r="C446" i="2"/>
  <c r="C447" i="2"/>
  <c r="C362" i="2"/>
  <c r="C363" i="2"/>
  <c r="C364" i="2"/>
  <c r="C365" i="2"/>
  <c r="C366" i="2"/>
  <c r="C367" i="2"/>
  <c r="C368" i="2"/>
  <c r="C369" i="2"/>
  <c r="C370" i="2"/>
  <c r="C541" i="2"/>
  <c r="I539" i="2"/>
  <c r="C535" i="2"/>
  <c r="C534" i="2"/>
  <c r="C527" i="2"/>
  <c r="C526" i="2"/>
  <c r="C525" i="2"/>
  <c r="C524" i="2"/>
  <c r="C523" i="2"/>
  <c r="C522" i="2"/>
  <c r="C521" i="2"/>
  <c r="C515" i="2"/>
  <c r="C514" i="2"/>
  <c r="C513" i="2"/>
  <c r="C512" i="2"/>
  <c r="C511" i="2"/>
  <c r="C510" i="2"/>
  <c r="C509" i="2"/>
  <c r="C503" i="2"/>
  <c r="C498" i="2"/>
  <c r="C497" i="2"/>
  <c r="C496" i="2"/>
  <c r="C495" i="2"/>
  <c r="C494" i="2"/>
  <c r="C493" i="2"/>
  <c r="C491" i="2"/>
  <c r="C490" i="2"/>
  <c r="C489" i="2"/>
  <c r="C488" i="2"/>
  <c r="C487" i="2"/>
  <c r="C486" i="2"/>
  <c r="C485" i="2"/>
  <c r="C484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3" i="2"/>
  <c r="C448" i="2"/>
  <c r="C433" i="2"/>
  <c r="C432" i="2"/>
  <c r="C431" i="2"/>
  <c r="C430" i="2"/>
  <c r="C429" i="2"/>
  <c r="C428" i="2"/>
  <c r="C427" i="2"/>
  <c r="C426" i="2"/>
  <c r="C425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1" i="2"/>
  <c r="C400" i="2"/>
  <c r="C399" i="2"/>
  <c r="C398" i="2"/>
  <c r="C397" i="2"/>
  <c r="C396" i="2"/>
  <c r="C395" i="2"/>
  <c r="C389" i="2"/>
  <c r="C388" i="2"/>
  <c r="C387" i="2"/>
  <c r="C386" i="2"/>
  <c r="C385" i="2"/>
  <c r="C384" i="2"/>
  <c r="C378" i="2"/>
  <c r="C377" i="2"/>
  <c r="C376" i="2"/>
  <c r="C375" i="2"/>
  <c r="C374" i="2"/>
  <c r="C373" i="2"/>
  <c r="C372" i="2"/>
  <c r="C371" i="2"/>
  <c r="C361" i="2"/>
  <c r="C360" i="2"/>
  <c r="C359" i="2"/>
  <c r="C358" i="2"/>
  <c r="C357" i="2"/>
  <c r="C356" i="2"/>
  <c r="C355" i="2"/>
  <c r="C354" i="2"/>
  <c r="C340" i="2"/>
  <c r="C339" i="2"/>
  <c r="C333" i="2"/>
  <c r="C332" i="2"/>
  <c r="C331" i="2"/>
  <c r="E25" i="2"/>
  <c r="C5" i="3"/>
  <c r="C4" i="3"/>
  <c r="C3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29" i="3"/>
  <c r="B28" i="3"/>
  <c r="B27" i="3"/>
  <c r="B26" i="3"/>
  <c r="B25" i="3"/>
  <c r="B24" i="3"/>
  <c r="B23" i="3"/>
  <c r="B22" i="3"/>
  <c r="B21" i="3"/>
  <c r="B20" i="3"/>
  <c r="B18" i="3"/>
  <c r="B17" i="3"/>
  <c r="B15" i="3"/>
  <c r="C316" i="2"/>
  <c r="C317" i="2"/>
  <c r="C325" i="2"/>
  <c r="C324" i="2"/>
  <c r="C323" i="2"/>
  <c r="C322" i="2"/>
  <c r="C321" i="2"/>
  <c r="C320" i="2"/>
  <c r="C319" i="2"/>
  <c r="C318" i="2"/>
  <c r="C315" i="2"/>
  <c r="C314" i="2"/>
  <c r="C313" i="2"/>
  <c r="C312" i="2"/>
  <c r="C311" i="2"/>
  <c r="C310" i="2"/>
  <c r="C309" i="2"/>
  <c r="C308" i="2"/>
  <c r="C307" i="2"/>
  <c r="C306" i="2"/>
  <c r="H304" i="2"/>
  <c r="C300" i="2"/>
  <c r="C286" i="2"/>
  <c r="C285" i="2"/>
  <c r="C284" i="2"/>
  <c r="C283" i="2"/>
  <c r="C282" i="2"/>
  <c r="C281" i="2"/>
  <c r="C280" i="2"/>
  <c r="C274" i="2"/>
  <c r="C273" i="2"/>
  <c r="C272" i="2"/>
  <c r="C271" i="2"/>
  <c r="C269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63" i="2"/>
  <c r="C242" i="2"/>
  <c r="C241" i="2"/>
  <c r="C240" i="2"/>
  <c r="C234" i="2"/>
  <c r="C233" i="2"/>
  <c r="C232" i="2"/>
  <c r="C231" i="2"/>
  <c r="C230" i="2"/>
  <c r="C229" i="2"/>
  <c r="C228" i="2"/>
  <c r="C227" i="2"/>
  <c r="C226" i="2"/>
  <c r="C220" i="2"/>
  <c r="C209" i="2"/>
  <c r="C208" i="2"/>
  <c r="C207" i="2"/>
  <c r="C193" i="2"/>
  <c r="C194" i="2"/>
  <c r="C195" i="2"/>
  <c r="C196" i="2"/>
  <c r="C197" i="2"/>
  <c r="C198" i="2"/>
  <c r="C199" i="2"/>
  <c r="C200" i="2"/>
  <c r="C201" i="2"/>
  <c r="C192" i="2"/>
  <c r="C191" i="2"/>
  <c r="C190" i="2"/>
  <c r="C184" i="2"/>
  <c r="C183" i="2"/>
  <c r="C182" i="2"/>
  <c r="C181" i="2"/>
  <c r="C180" i="2"/>
  <c r="C179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35" i="2"/>
  <c r="C134" i="2"/>
  <c r="C123" i="2"/>
  <c r="C124" i="2"/>
  <c r="C125" i="2"/>
  <c r="C128" i="2"/>
  <c r="C127" i="2"/>
  <c r="C126" i="2"/>
  <c r="C122" i="2"/>
  <c r="C121" i="2"/>
  <c r="C115" i="2"/>
  <c r="C114" i="2"/>
  <c r="C113" i="2"/>
  <c r="C112" i="2"/>
  <c r="C111" i="2"/>
  <c r="C110" i="2"/>
  <c r="C95" i="2"/>
  <c r="C96" i="2"/>
  <c r="C97" i="2"/>
  <c r="C98" i="2"/>
  <c r="C99" i="2"/>
  <c r="C100" i="2"/>
  <c r="C101" i="2"/>
  <c r="C102" i="2"/>
  <c r="C103" i="2"/>
  <c r="C104" i="2"/>
  <c r="C94" i="2"/>
  <c r="C93" i="2"/>
  <c r="C87" i="2"/>
  <c r="C83" i="2"/>
  <c r="C84" i="2"/>
  <c r="C85" i="2"/>
  <c r="C86" i="2"/>
  <c r="C82" i="2"/>
  <c r="C81" i="2"/>
  <c r="C60" i="2"/>
  <c r="C61" i="2"/>
  <c r="C62" i="2"/>
  <c r="C64" i="2"/>
  <c r="C65" i="2"/>
  <c r="C66" i="2"/>
  <c r="C59" i="2"/>
  <c r="C58" i="2"/>
  <c r="I37" i="2"/>
  <c r="H37" i="2" s="1"/>
  <c r="I38" i="2"/>
  <c r="H38" i="2" s="1"/>
  <c r="I39" i="2"/>
  <c r="H39" i="2" s="1"/>
  <c r="I36" i="2"/>
  <c r="H36" i="2" s="1"/>
  <c r="I35" i="2"/>
  <c r="H35" i="2" s="1"/>
  <c r="I34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I21" i="2"/>
  <c r="I7" i="2"/>
  <c r="C10" i="2"/>
  <c r="C11" i="2"/>
  <c r="C12" i="2"/>
  <c r="C13" i="2"/>
  <c r="C15" i="2"/>
  <c r="C16" i="2"/>
  <c r="C17" i="2"/>
  <c r="C18" i="2"/>
  <c r="C19" i="2"/>
  <c r="J22" i="4"/>
  <c r="J23" i="4" s="1"/>
  <c r="J24" i="4"/>
  <c r="Z30" i="3"/>
  <c r="G27" i="2"/>
  <c r="I27" i="2" s="1"/>
  <c r="H27" i="2" s="1"/>
  <c r="I482" i="2"/>
  <c r="I423" i="2"/>
  <c r="H34" i="2"/>
  <c r="B35" i="4"/>
  <c r="B61" i="4"/>
  <c r="B76" i="4"/>
  <c r="B80" i="4"/>
  <c r="B84" i="4"/>
  <c r="B88" i="4"/>
  <c r="B92" i="4"/>
  <c r="B96" i="4"/>
  <c r="B107" i="4"/>
  <c r="B115" i="4"/>
  <c r="B141" i="4"/>
  <c r="H487" i="2"/>
  <c r="H504" i="2" s="1"/>
  <c r="H482" i="2"/>
  <c r="I536" i="2"/>
  <c r="I516" i="2"/>
  <c r="I507" i="2"/>
  <c r="I402" i="2"/>
  <c r="I326" i="2"/>
  <c r="B32" i="4"/>
  <c r="B47" i="4"/>
  <c r="B62" i="4"/>
  <c r="B77" i="4"/>
  <c r="B81" i="4"/>
  <c r="B85" i="4"/>
  <c r="B89" i="4"/>
  <c r="B93" i="4"/>
  <c r="B112" i="4"/>
  <c r="B142" i="4"/>
  <c r="I479" i="2"/>
  <c r="G44" i="1" s="1"/>
  <c r="F44" i="1" s="1"/>
  <c r="E39" i="8" s="1"/>
  <c r="B33" i="4"/>
  <c r="B63" i="4"/>
  <c r="B78" i="4"/>
  <c r="B82" i="4"/>
  <c r="B86" i="4"/>
  <c r="B90" i="4"/>
  <c r="B94" i="4"/>
  <c r="B109" i="4"/>
  <c r="B147" i="4"/>
  <c r="I529" i="2"/>
  <c r="G47" i="1" s="1"/>
  <c r="I349" i="2"/>
  <c r="G38" i="1" s="1"/>
  <c r="I334" i="2"/>
  <c r="I328" i="2" s="1"/>
  <c r="O123" i="4"/>
  <c r="B30" i="4"/>
  <c r="B38" i="4"/>
  <c r="B75" i="4"/>
  <c r="B79" i="4"/>
  <c r="B83" i="4"/>
  <c r="B87" i="4"/>
  <c r="B91" i="4"/>
  <c r="B95" i="4"/>
  <c r="B106" i="4"/>
  <c r="B114" i="4"/>
  <c r="B125" i="4"/>
  <c r="B17" i="4"/>
  <c r="N19" i="4"/>
  <c r="O19" i="4"/>
  <c r="N145" i="4"/>
  <c r="O145" i="4"/>
  <c r="N141" i="4"/>
  <c r="O141" i="4"/>
  <c r="N137" i="4"/>
  <c r="O137" i="4"/>
  <c r="N97" i="4"/>
  <c r="N52" i="4"/>
  <c r="O52" i="4" s="1"/>
  <c r="O53" i="4" s="1"/>
  <c r="G34" i="1"/>
  <c r="G46" i="1"/>
  <c r="F41" i="8" s="1"/>
  <c r="J41" i="8" s="1"/>
  <c r="G18" i="1"/>
  <c r="F18" i="1" s="1"/>
  <c r="G41" i="1"/>
  <c r="F36" i="8"/>
  <c r="J36" i="8" s="1"/>
  <c r="G45" i="1"/>
  <c r="F45" i="1" s="1"/>
  <c r="G49" i="1"/>
  <c r="F49" i="1" s="1"/>
  <c r="E44" i="8" s="1"/>
  <c r="N15" i="4"/>
  <c r="O15" i="4"/>
  <c r="N136" i="4"/>
  <c r="N144" i="4"/>
  <c r="O144" i="4" s="1"/>
  <c r="N140" i="4"/>
  <c r="O140" i="4"/>
  <c r="A8" i="4"/>
  <c r="I143" i="2"/>
  <c r="H143" i="2" s="1"/>
  <c r="A7" i="4"/>
  <c r="X16" i="3"/>
  <c r="AB16" i="3" s="1"/>
  <c r="I121" i="2"/>
  <c r="I165" i="2"/>
  <c r="G165" i="2" s="1"/>
  <c r="I99" i="2"/>
  <c r="I149" i="2"/>
  <c r="H149" i="2" s="1"/>
  <c r="I163" i="2"/>
  <c r="G163" i="2" s="1"/>
  <c r="I110" i="2"/>
  <c r="I150" i="2"/>
  <c r="I164" i="2"/>
  <c r="I190" i="2"/>
  <c r="H190" i="2" s="1"/>
  <c r="I156" i="2"/>
  <c r="H156" i="2"/>
  <c r="I194" i="2"/>
  <c r="H194" i="2"/>
  <c r="I179" i="2"/>
  <c r="E199" i="2"/>
  <c r="E191" i="2"/>
  <c r="E182" i="2"/>
  <c r="E165" i="2"/>
  <c r="E156" i="2"/>
  <c r="G156" i="2" s="1"/>
  <c r="E144" i="2"/>
  <c r="E140" i="2"/>
  <c r="E136" i="2"/>
  <c r="E114" i="2"/>
  <c r="E110" i="2"/>
  <c r="E97" i="2"/>
  <c r="E84" i="2"/>
  <c r="E196" i="2"/>
  <c r="E194" i="2"/>
  <c r="E192" i="2"/>
  <c r="E181" i="2"/>
  <c r="E179" i="2"/>
  <c r="E166" i="2"/>
  <c r="E162" i="2"/>
  <c r="E155" i="2"/>
  <c r="E147" i="2"/>
  <c r="E145" i="2"/>
  <c r="E139" i="2"/>
  <c r="E128" i="2"/>
  <c r="E124" i="2"/>
  <c r="E115" i="2"/>
  <c r="E104" i="2"/>
  <c r="E102" i="2"/>
  <c r="E100" i="2"/>
  <c r="E94" i="2"/>
  <c r="E87" i="2"/>
  <c r="E83" i="2"/>
  <c r="O136" i="4"/>
  <c r="N148" i="4"/>
  <c r="O134" i="4" s="1"/>
  <c r="O135" i="4" s="1"/>
  <c r="F41" i="1"/>
  <c r="E36" i="8" s="1"/>
  <c r="I336" i="2"/>
  <c r="I337" i="2"/>
  <c r="I350" i="2"/>
  <c r="I304" i="2"/>
  <c r="I303" i="2"/>
  <c r="H7" i="2"/>
  <c r="F39" i="8"/>
  <c r="J39" i="8" s="1"/>
  <c r="O72" i="4"/>
  <c r="O73" i="4"/>
  <c r="I518" i="2"/>
  <c r="I530" i="2"/>
  <c r="I403" i="2"/>
  <c r="I393" i="2"/>
  <c r="I392" i="2"/>
  <c r="F44" i="8"/>
  <c r="J44" i="8" s="1"/>
  <c r="F47" i="1"/>
  <c r="E42" i="8" s="1"/>
  <c r="F42" i="8"/>
  <c r="J42" i="8" s="1"/>
  <c r="F34" i="1"/>
  <c r="E29" i="8" s="1"/>
  <c r="F29" i="8"/>
  <c r="J29" i="8" s="1"/>
  <c r="I506" i="2"/>
  <c r="I517" i="2"/>
  <c r="E40" i="8"/>
  <c r="F40" i="8"/>
  <c r="J40" i="8"/>
  <c r="E13" i="8"/>
  <c r="F13" i="8"/>
  <c r="J13" i="8" s="1"/>
  <c r="O54" i="4"/>
  <c r="O55" i="4" s="1"/>
  <c r="O56" i="4" s="1"/>
  <c r="I335" i="2"/>
  <c r="I457" i="2"/>
  <c r="I480" i="2"/>
  <c r="I532" i="2"/>
  <c r="I531" i="2"/>
  <c r="H164" i="2"/>
  <c r="H99" i="2"/>
  <c r="O148" i="4"/>
  <c r="O149" i="4" s="1"/>
  <c r="H179" i="2"/>
  <c r="H150" i="2"/>
  <c r="H110" i="2"/>
  <c r="H163" i="2"/>
  <c r="H121" i="2"/>
  <c r="F33" i="8"/>
  <c r="J33" i="8" s="1"/>
  <c r="F38" i="1"/>
  <c r="E33" i="8"/>
  <c r="I124" i="2"/>
  <c r="I191" i="2"/>
  <c r="I113" i="2"/>
  <c r="I83" i="2"/>
  <c r="I101" i="2"/>
  <c r="I125" i="2"/>
  <c r="I169" i="2"/>
  <c r="I102" i="2"/>
  <c r="I136" i="2"/>
  <c r="I123" i="2"/>
  <c r="I145" i="2"/>
  <c r="I167" i="2"/>
  <c r="I96" i="2"/>
  <c r="I114" i="2"/>
  <c r="I138" i="2"/>
  <c r="I182" i="2"/>
  <c r="I173" i="2"/>
  <c r="I200" i="2"/>
  <c r="I196" i="2"/>
  <c r="E197" i="2"/>
  <c r="E171" i="2"/>
  <c r="E163" i="2"/>
  <c r="E142" i="2"/>
  <c r="E134" i="2"/>
  <c r="E103" i="2"/>
  <c r="E95" i="2"/>
  <c r="I115" i="2"/>
  <c r="I139" i="2"/>
  <c r="I94" i="2"/>
  <c r="I81" i="2"/>
  <c r="I103" i="2"/>
  <c r="I153" i="2"/>
  <c r="I181" i="2"/>
  <c r="I104" i="2"/>
  <c r="H104" i="2" s="1"/>
  <c r="I146" i="2"/>
  <c r="I168" i="2"/>
  <c r="I152" i="2"/>
  <c r="I193" i="2"/>
  <c r="G193" i="2" s="1"/>
  <c r="I184" i="2"/>
  <c r="I166" i="2"/>
  <c r="E193" i="2"/>
  <c r="E180" i="2"/>
  <c r="E154" i="2"/>
  <c r="E146" i="2"/>
  <c r="E138" i="2"/>
  <c r="E112" i="2"/>
  <c r="E99" i="2"/>
  <c r="G99" i="2" s="1"/>
  <c r="E198" i="2"/>
  <c r="E190" i="2"/>
  <c r="G190" i="2" s="1"/>
  <c r="E164" i="2"/>
  <c r="G164" i="2"/>
  <c r="E151" i="2"/>
  <c r="E135" i="2"/>
  <c r="E122" i="2"/>
  <c r="I135" i="2"/>
  <c r="I84" i="2"/>
  <c r="I140" i="2"/>
  <c r="I171" i="2"/>
  <c r="G171" i="2" s="1"/>
  <c r="I100" i="2"/>
  <c r="I142" i="2"/>
  <c r="I183" i="2"/>
  <c r="I148" i="2"/>
  <c r="H148" i="2" s="1"/>
  <c r="E195" i="2"/>
  <c r="E148" i="2"/>
  <c r="E127" i="2"/>
  <c r="E101" i="2"/>
  <c r="G101" i="2" s="1"/>
  <c r="E200" i="2"/>
  <c r="E183" i="2"/>
  <c r="E168" i="2"/>
  <c r="E153" i="2"/>
  <c r="G153" i="2" s="1"/>
  <c r="E141" i="2"/>
  <c r="E126" i="2"/>
  <c r="E111" i="2"/>
  <c r="E98" i="2"/>
  <c r="E85" i="2"/>
  <c r="I134" i="2"/>
  <c r="I199" i="2"/>
  <c r="G199" i="2" s="1"/>
  <c r="I141" i="2"/>
  <c r="I126" i="2"/>
  <c r="I151" i="2"/>
  <c r="I97" i="2"/>
  <c r="H97" i="2" s="1"/>
  <c r="B64" i="4"/>
  <c r="B31" i="4"/>
  <c r="B36" i="4"/>
  <c r="B34" i="4"/>
  <c r="B28" i="4"/>
  <c r="B37" i="4"/>
  <c r="B50" i="4"/>
  <c r="B51" i="4"/>
  <c r="B49" i="4"/>
  <c r="B65" i="4"/>
  <c r="B111" i="4"/>
  <c r="B110" i="4"/>
  <c r="B104" i="4"/>
  <c r="B108" i="4"/>
  <c r="B113" i="4"/>
  <c r="B105" i="4"/>
  <c r="B145" i="4"/>
  <c r="B143" i="4"/>
  <c r="B144" i="4"/>
  <c r="B136" i="4"/>
  <c r="B146" i="4"/>
  <c r="B139" i="4"/>
  <c r="B137" i="4"/>
  <c r="I422" i="2"/>
  <c r="I455" i="2"/>
  <c r="G43" i="1"/>
  <c r="I276" i="2"/>
  <c r="I266" i="2"/>
  <c r="I267" i="2"/>
  <c r="B66" i="4"/>
  <c r="I204" i="2"/>
  <c r="I222" i="2"/>
  <c r="G31" i="1"/>
  <c r="B15" i="4"/>
  <c r="B13" i="4"/>
  <c r="B16" i="4"/>
  <c r="H536" i="2"/>
  <c r="H532" i="2"/>
  <c r="I67" i="2"/>
  <c r="N116" i="4"/>
  <c r="O104" i="4"/>
  <c r="I390" i="2"/>
  <c r="I235" i="2"/>
  <c r="I301" i="2"/>
  <c r="I302" i="2" s="1"/>
  <c r="N14" i="4"/>
  <c r="N60" i="4"/>
  <c r="X69" i="3"/>
  <c r="AB69" i="3" s="1"/>
  <c r="X53" i="3"/>
  <c r="AB53" i="3" s="1"/>
  <c r="T30" i="3"/>
  <c r="I25" i="2" s="1"/>
  <c r="H25" i="2" s="1"/>
  <c r="H100" i="2"/>
  <c r="G100" i="2"/>
  <c r="H193" i="2"/>
  <c r="G146" i="2"/>
  <c r="H146" i="2"/>
  <c r="H181" i="2"/>
  <c r="G181" i="2"/>
  <c r="H81" i="2"/>
  <c r="G139" i="2"/>
  <c r="H139" i="2"/>
  <c r="G191" i="2"/>
  <c r="H191" i="2"/>
  <c r="O14" i="4"/>
  <c r="N20" i="4"/>
  <c r="G32" i="1"/>
  <c r="I236" i="2"/>
  <c r="I223" i="2"/>
  <c r="I224" i="2"/>
  <c r="O102" i="4"/>
  <c r="O103" i="4"/>
  <c r="O116" i="4"/>
  <c r="O117" i="4"/>
  <c r="O118" i="4"/>
  <c r="O119" i="4"/>
  <c r="O120" i="4" s="1"/>
  <c r="G40" i="1"/>
  <c r="F35" i="8" s="1"/>
  <c r="I381" i="2"/>
  <c r="I56" i="2"/>
  <c r="I55" i="2"/>
  <c r="F31" i="1"/>
  <c r="E26" i="8"/>
  <c r="F26" i="8"/>
  <c r="J26" i="8"/>
  <c r="G97" i="2"/>
  <c r="H199" i="2"/>
  <c r="H183" i="2"/>
  <c r="G183" i="2"/>
  <c r="H171" i="2"/>
  <c r="G135" i="2"/>
  <c r="H135" i="2"/>
  <c r="H153" i="2"/>
  <c r="G115" i="2"/>
  <c r="H115" i="2"/>
  <c r="H173" i="2"/>
  <c r="H138" i="2"/>
  <c r="G138" i="2"/>
  <c r="H167" i="2"/>
  <c r="G136" i="2"/>
  <c r="H136" i="2"/>
  <c r="H125" i="2"/>
  <c r="G124" i="2"/>
  <c r="H124" i="2"/>
  <c r="H84" i="2"/>
  <c r="G84" i="2"/>
  <c r="G151" i="2"/>
  <c r="H151" i="2"/>
  <c r="H134" i="2"/>
  <c r="G134" i="2"/>
  <c r="H166" i="2"/>
  <c r="G166" i="2"/>
  <c r="H152" i="2"/>
  <c r="G104" i="2"/>
  <c r="H94" i="2"/>
  <c r="G94" i="2"/>
  <c r="H196" i="2"/>
  <c r="G196" i="2"/>
  <c r="G114" i="2"/>
  <c r="H114" i="2"/>
  <c r="H145" i="2"/>
  <c r="G145" i="2"/>
  <c r="H102" i="2"/>
  <c r="G102" i="2"/>
  <c r="H101" i="2"/>
  <c r="G141" i="2"/>
  <c r="H141" i="2"/>
  <c r="G148" i="2"/>
  <c r="O60" i="4"/>
  <c r="I277" i="2"/>
  <c r="H126" i="2"/>
  <c r="G126" i="2"/>
  <c r="G142" i="2"/>
  <c r="H142" i="2"/>
  <c r="H140" i="2"/>
  <c r="G140" i="2"/>
  <c r="H184" i="2"/>
  <c r="G168" i="2"/>
  <c r="H168" i="2"/>
  <c r="I82" i="2"/>
  <c r="H82" i="2" s="1"/>
  <c r="G103" i="2"/>
  <c r="H103" i="2"/>
  <c r="G200" i="2"/>
  <c r="H200" i="2"/>
  <c r="G182" i="2"/>
  <c r="H182" i="2"/>
  <c r="H96" i="2"/>
  <c r="H123" i="2"/>
  <c r="H169" i="2"/>
  <c r="H83" i="2"/>
  <c r="G83" i="2"/>
  <c r="H113" i="2"/>
  <c r="F27" i="8"/>
  <c r="J27" i="8"/>
  <c r="F32" i="1"/>
  <c r="E27" i="8" s="1"/>
  <c r="F40" i="1"/>
  <c r="E35" i="8"/>
  <c r="J35" i="8"/>
  <c r="O22" i="4"/>
  <c r="O23" i="4" s="1"/>
  <c r="O24" i="4" s="1"/>
  <c r="O20" i="4"/>
  <c r="O21" i="4"/>
  <c r="I68" i="2" l="1"/>
  <c r="G21" i="1"/>
  <c r="O12" i="4"/>
  <c r="I122" i="2"/>
  <c r="N67" i="4"/>
  <c r="I382" i="2"/>
  <c r="I391" i="2"/>
  <c r="F38" i="8"/>
  <c r="J38" i="8" s="1"/>
  <c r="F43" i="1"/>
  <c r="E38" i="8" s="1"/>
  <c r="G35" i="1"/>
  <c r="I278" i="2"/>
  <c r="H165" i="2"/>
  <c r="I329" i="2"/>
  <c r="G194" i="2"/>
  <c r="O97" i="4"/>
  <c r="O98" i="4" s="1"/>
  <c r="O99" i="4"/>
  <c r="O100" i="4" s="1"/>
  <c r="O101" i="4" s="1"/>
  <c r="B60" i="4"/>
  <c r="I505" i="2"/>
  <c r="I481" i="2"/>
  <c r="F46" i="1"/>
  <c r="E41" i="8" s="1"/>
  <c r="G37" i="1"/>
  <c r="H53" i="2"/>
  <c r="H32" i="2" s="1"/>
  <c r="I53" i="2"/>
  <c r="B127" i="4"/>
  <c r="B128" i="4"/>
  <c r="B126" i="4"/>
  <c r="B123" i="4"/>
  <c r="H235" i="2"/>
  <c r="H224" i="2" s="1"/>
  <c r="H67" i="2"/>
  <c r="H56" i="2" s="1"/>
  <c r="I198" i="2"/>
  <c r="I456" i="2"/>
  <c r="O44" i="4"/>
  <c r="O45" i="4" s="1"/>
  <c r="G179" i="2"/>
  <c r="G110" i="2"/>
  <c r="I111" i="2"/>
  <c r="I85" i="2"/>
  <c r="I86" i="2"/>
  <c r="I170" i="2"/>
  <c r="I162" i="2"/>
  <c r="I201" i="2"/>
  <c r="E173" i="2"/>
  <c r="G173" i="2" s="1"/>
  <c r="E152" i="2"/>
  <c r="G152" i="2" s="1"/>
  <c r="E123" i="2"/>
  <c r="G123" i="2" s="1"/>
  <c r="E93" i="2"/>
  <c r="E170" i="2"/>
  <c r="E149" i="2"/>
  <c r="G149" i="2" s="1"/>
  <c r="E137" i="2"/>
  <c r="E113" i="2"/>
  <c r="G113" i="2" s="1"/>
  <c r="E96" i="2"/>
  <c r="G96" i="2" s="1"/>
  <c r="E81" i="2"/>
  <c r="G81" i="2" s="1"/>
  <c r="I172" i="2"/>
  <c r="I112" i="2"/>
  <c r="I147" i="2"/>
  <c r="I95" i="2"/>
  <c r="I195" i="2"/>
  <c r="I154" i="2"/>
  <c r="I144" i="2"/>
  <c r="E184" i="2"/>
  <c r="G184" i="2" s="1"/>
  <c r="E150" i="2"/>
  <c r="G150" i="2" s="1"/>
  <c r="E121" i="2"/>
  <c r="G121" i="2" s="1"/>
  <c r="E82" i="2"/>
  <c r="G82" i="2" s="1"/>
  <c r="I155" i="2"/>
  <c r="I137" i="2"/>
  <c r="I128" i="2"/>
  <c r="I197" i="2"/>
  <c r="E201" i="2"/>
  <c r="E167" i="2"/>
  <c r="G167" i="2" s="1"/>
  <c r="E125" i="2"/>
  <c r="G125" i="2" s="1"/>
  <c r="E86" i="2"/>
  <c r="E172" i="2"/>
  <c r="E143" i="2"/>
  <c r="G143" i="2" s="1"/>
  <c r="I87" i="2"/>
  <c r="I127" i="2"/>
  <c r="I192" i="2"/>
  <c r="E169" i="2"/>
  <c r="G169" i="2" s="1"/>
  <c r="I327" i="2"/>
  <c r="G36" i="1"/>
  <c r="G48" i="1"/>
  <c r="I537" i="2"/>
  <c r="H390" i="2"/>
  <c r="H382" i="2" s="1"/>
  <c r="H402" i="2"/>
  <c r="H393" i="2" s="1"/>
  <c r="B18" i="4"/>
  <c r="B14" i="4"/>
  <c r="B19" i="4"/>
  <c r="H349" i="2"/>
  <c r="H337" i="2" s="1"/>
  <c r="I379" i="2"/>
  <c r="N27" i="4"/>
  <c r="J39" i="4"/>
  <c r="J41" i="4" s="1"/>
  <c r="J42" i="4" s="1"/>
  <c r="J43" i="4" s="1"/>
  <c r="B14" i="3"/>
  <c r="G75" i="2"/>
  <c r="I75" i="2" s="1"/>
  <c r="H75" i="2" s="1"/>
  <c r="I420" i="2"/>
  <c r="J52" i="4"/>
  <c r="J54" i="4" s="1"/>
  <c r="J55" i="4" s="1"/>
  <c r="J56" i="4" s="1"/>
  <c r="AB23" i="3"/>
  <c r="AB72" i="3"/>
  <c r="AB64" i="3"/>
  <c r="X71" i="3"/>
  <c r="AB71" i="3" s="1"/>
  <c r="X67" i="3"/>
  <c r="AB67" i="3"/>
  <c r="X63" i="3"/>
  <c r="AB63" i="3" s="1"/>
  <c r="X56" i="3"/>
  <c r="AB56" i="3"/>
  <c r="X46" i="3"/>
  <c r="AB46" i="3" s="1"/>
  <c r="X42" i="3"/>
  <c r="AB42" i="3" s="1"/>
  <c r="T75" i="3"/>
  <c r="I72" i="2" s="1"/>
  <c r="AB36" i="3"/>
  <c r="X36" i="3"/>
  <c r="V30" i="3"/>
  <c r="G28" i="2" s="1"/>
  <c r="I28" i="2" s="1"/>
  <c r="H28" i="2" s="1"/>
  <c r="X28" i="3"/>
  <c r="AB28" i="3" s="1"/>
  <c r="AB25" i="3"/>
  <c r="X15" i="3"/>
  <c r="AB15" i="3"/>
  <c r="I264" i="2"/>
  <c r="N32" i="4"/>
  <c r="Q30" i="3"/>
  <c r="Z75" i="3"/>
  <c r="G74" i="2" s="1"/>
  <c r="I74" i="2" s="1"/>
  <c r="H74" i="2" s="1"/>
  <c r="I519" i="2"/>
  <c r="N124" i="4"/>
  <c r="J129" i="4"/>
  <c r="J131" i="4" s="1"/>
  <c r="J132" i="4" s="1"/>
  <c r="J133" i="4" s="1"/>
  <c r="AB18" i="3"/>
  <c r="J72" i="4"/>
  <c r="J11" i="4"/>
  <c r="H11" i="8"/>
  <c r="L11" i="4"/>
  <c r="L12" i="4" s="1"/>
  <c r="L20" i="4" s="1"/>
  <c r="N25" i="4"/>
  <c r="N102" i="4"/>
  <c r="L121" i="4"/>
  <c r="L44" i="4"/>
  <c r="X34" i="3"/>
  <c r="Z12" i="3"/>
  <c r="J134" i="4"/>
  <c r="J57" i="4"/>
  <c r="F11" i="8"/>
  <c r="J121" i="4"/>
  <c r="J44" i="4"/>
  <c r="E11" i="8"/>
  <c r="N57" i="4"/>
  <c r="N134" i="4"/>
  <c r="L72" i="4"/>
  <c r="AB34" i="3"/>
  <c r="T34" i="3"/>
  <c r="V12" i="3"/>
  <c r="AB70" i="3"/>
  <c r="AB66" i="3"/>
  <c r="AB62" i="3"/>
  <c r="X65" i="3"/>
  <c r="AB65" i="3"/>
  <c r="X54" i="3"/>
  <c r="AB54" i="3" s="1"/>
  <c r="X48" i="3"/>
  <c r="AB48" i="3"/>
  <c r="AB44" i="3"/>
  <c r="X44" i="3"/>
  <c r="X39" i="3"/>
  <c r="AB39" i="3"/>
  <c r="X37" i="3"/>
  <c r="AB37" i="3" s="1"/>
  <c r="AB45" i="3"/>
  <c r="AB43" i="3"/>
  <c r="H72" i="2" l="1"/>
  <c r="F48" i="1"/>
  <c r="E43" i="8" s="1"/>
  <c r="F43" i="8"/>
  <c r="J43" i="8" s="1"/>
  <c r="I404" i="2"/>
  <c r="G42" i="1"/>
  <c r="I405" i="2"/>
  <c r="I421" i="2"/>
  <c r="G33" i="1"/>
  <c r="I265" i="2"/>
  <c r="I238" i="2"/>
  <c r="I237" i="2"/>
  <c r="AB75" i="3"/>
  <c r="O27" i="4"/>
  <c r="N39" i="4"/>
  <c r="I93" i="2"/>
  <c r="I157" i="2"/>
  <c r="H137" i="2"/>
  <c r="G137" i="2"/>
  <c r="H195" i="2"/>
  <c r="G195" i="2"/>
  <c r="H172" i="2"/>
  <c r="G172" i="2"/>
  <c r="H162" i="2"/>
  <c r="G162" i="2"/>
  <c r="I174" i="2"/>
  <c r="I116" i="2"/>
  <c r="H111" i="2"/>
  <c r="G111" i="2"/>
  <c r="I31" i="2"/>
  <c r="G20" i="1"/>
  <c r="I32" i="2"/>
  <c r="I54" i="2"/>
  <c r="I380" i="2"/>
  <c r="G39" i="1"/>
  <c r="I352" i="2"/>
  <c r="I351" i="2"/>
  <c r="G170" i="2"/>
  <c r="H170" i="2"/>
  <c r="H198" i="2"/>
  <c r="G198" i="2"/>
  <c r="O69" i="4"/>
  <c r="O70" i="4" s="1"/>
  <c r="O71" i="4" s="1"/>
  <c r="O57" i="4"/>
  <c r="O58" i="4" s="1"/>
  <c r="O67" i="4"/>
  <c r="O68" i="4" s="1"/>
  <c r="F16" i="8"/>
  <c r="J16" i="8" s="1"/>
  <c r="F21" i="1"/>
  <c r="E16" i="8" s="1"/>
  <c r="I202" i="2"/>
  <c r="H192" i="2"/>
  <c r="G192" i="2"/>
  <c r="G155" i="2"/>
  <c r="H155" i="2"/>
  <c r="X30" i="3"/>
  <c r="G26" i="2" s="1"/>
  <c r="I26" i="2" s="1"/>
  <c r="H127" i="2"/>
  <c r="G127" i="2"/>
  <c r="H197" i="2"/>
  <c r="G197" i="2"/>
  <c r="H144" i="2"/>
  <c r="G144" i="2"/>
  <c r="H147" i="2"/>
  <c r="G147" i="2"/>
  <c r="H86" i="2"/>
  <c r="G86" i="2"/>
  <c r="F37" i="1"/>
  <c r="E32" i="8" s="1"/>
  <c r="F32" i="8"/>
  <c r="J32" i="8" s="1"/>
  <c r="F30" i="8"/>
  <c r="J30" i="8" s="1"/>
  <c r="F35" i="1"/>
  <c r="E30" i="8" s="1"/>
  <c r="G122" i="2"/>
  <c r="I129" i="2"/>
  <c r="H122" i="2"/>
  <c r="AB30" i="3"/>
  <c r="C7" i="3" s="1"/>
  <c r="C8" i="3" s="1"/>
  <c r="H95" i="2"/>
  <c r="G95" i="2"/>
  <c r="F36" i="1"/>
  <c r="E31" i="8" s="1"/>
  <c r="F31" i="8"/>
  <c r="J31" i="8" s="1"/>
  <c r="O124" i="4"/>
  <c r="N129" i="4"/>
  <c r="I180" i="2"/>
  <c r="O32" i="4"/>
  <c r="I98" i="2"/>
  <c r="X75" i="3"/>
  <c r="G73" i="2" s="1"/>
  <c r="I73" i="2" s="1"/>
  <c r="H73" i="2" s="1"/>
  <c r="H87" i="2"/>
  <c r="G87" i="2"/>
  <c r="G128" i="2"/>
  <c r="H128" i="2"/>
  <c r="G154" i="2"/>
  <c r="H154" i="2"/>
  <c r="G112" i="2"/>
  <c r="H112" i="2"/>
  <c r="H201" i="2"/>
  <c r="G201" i="2"/>
  <c r="H85" i="2"/>
  <c r="G85" i="2"/>
  <c r="I88" i="2"/>
  <c r="H98" i="2" l="1"/>
  <c r="G98" i="2"/>
  <c r="I203" i="2"/>
  <c r="I187" i="2"/>
  <c r="I188" i="2"/>
  <c r="G30" i="1"/>
  <c r="F39" i="1"/>
  <c r="E34" i="8" s="1"/>
  <c r="F34" i="8"/>
  <c r="J34" i="8" s="1"/>
  <c r="F20" i="1"/>
  <c r="E15" i="8" s="1"/>
  <c r="F15" i="8"/>
  <c r="J15" i="8" s="1"/>
  <c r="G25" i="1"/>
  <c r="I107" i="2"/>
  <c r="I117" i="2"/>
  <c r="I108" i="2"/>
  <c r="O41" i="4"/>
  <c r="O42" i="4" s="1"/>
  <c r="O43" i="4" s="1"/>
  <c r="O25" i="4"/>
  <c r="O26" i="4" s="1"/>
  <c r="O39" i="4"/>
  <c r="O40" i="4" s="1"/>
  <c r="I78" i="2"/>
  <c r="I89" i="2"/>
  <c r="G23" i="1"/>
  <c r="I79" i="2"/>
  <c r="H88" i="2"/>
  <c r="H79" i="2" s="1"/>
  <c r="I175" i="2"/>
  <c r="I160" i="2"/>
  <c r="G28" i="1"/>
  <c r="I159" i="2"/>
  <c r="H157" i="2"/>
  <c r="H132" i="2" s="1"/>
  <c r="F42" i="1"/>
  <c r="E37" i="8" s="1"/>
  <c r="F37" i="8"/>
  <c r="J37" i="8" s="1"/>
  <c r="C7" i="4"/>
  <c r="C8" i="4" s="1"/>
  <c r="G180" i="2"/>
  <c r="H180" i="2"/>
  <c r="H185" i="2" s="1"/>
  <c r="H177" i="2" s="1"/>
  <c r="I185" i="2"/>
  <c r="H129" i="2"/>
  <c r="H119" i="2" s="1"/>
  <c r="I132" i="2"/>
  <c r="I131" i="2"/>
  <c r="G27" i="1"/>
  <c r="I158" i="2"/>
  <c r="F28" i="8"/>
  <c r="J28" i="8" s="1"/>
  <c r="F33" i="1"/>
  <c r="E28" i="8" s="1"/>
  <c r="I76" i="2"/>
  <c r="O129" i="4"/>
  <c r="O130" i="4" s="1"/>
  <c r="O131" i="4"/>
  <c r="O132" i="4" s="1"/>
  <c r="O133" i="4" s="1"/>
  <c r="O121" i="4"/>
  <c r="O122" i="4" s="1"/>
  <c r="I130" i="2"/>
  <c r="I119" i="2"/>
  <c r="I118" i="2"/>
  <c r="G26" i="1"/>
  <c r="H26" i="2"/>
  <c r="H29" i="2" s="1"/>
  <c r="I29" i="2"/>
  <c r="H202" i="2"/>
  <c r="H188" i="2" s="1"/>
  <c r="H116" i="2"/>
  <c r="H108" i="2" s="1"/>
  <c r="H174" i="2"/>
  <c r="H160" i="2" s="1"/>
  <c r="G93" i="2"/>
  <c r="H93" i="2"/>
  <c r="H105" i="2" s="1"/>
  <c r="H91" i="2" s="1"/>
  <c r="I105" i="2"/>
  <c r="H76" i="2"/>
  <c r="H70" i="2" s="1"/>
  <c r="H23" i="2" l="1"/>
  <c r="H544" i="2"/>
  <c r="I77" i="2"/>
  <c r="K76" i="2"/>
  <c r="G22" i="1"/>
  <c r="I70" i="2"/>
  <c r="I69" i="2"/>
  <c r="I91" i="2"/>
  <c r="I106" i="2"/>
  <c r="G24" i="1"/>
  <c r="I90" i="2"/>
  <c r="F26" i="1"/>
  <c r="E21" i="8" s="1"/>
  <c r="F21" i="8"/>
  <c r="J21" i="8" s="1"/>
  <c r="F18" i="8"/>
  <c r="J18" i="8" s="1"/>
  <c r="F23" i="1"/>
  <c r="E18" i="8" s="1"/>
  <c r="F25" i="1"/>
  <c r="E20" i="8" s="1"/>
  <c r="F20" i="8"/>
  <c r="J20" i="8" s="1"/>
  <c r="I22" i="2"/>
  <c r="I544" i="2"/>
  <c r="K29" i="2"/>
  <c r="G19" i="1"/>
  <c r="I30" i="2"/>
  <c r="I23" i="2"/>
  <c r="F25" i="8"/>
  <c r="J25" i="8" s="1"/>
  <c r="F30" i="1"/>
  <c r="E25" i="8" s="1"/>
  <c r="F27" i="1"/>
  <c r="E22" i="8" s="1"/>
  <c r="F22" i="8"/>
  <c r="J22" i="8" s="1"/>
  <c r="I176" i="2"/>
  <c r="G29" i="1"/>
  <c r="I186" i="2"/>
  <c r="I177" i="2"/>
  <c r="F23" i="8"/>
  <c r="J23" i="8" s="1"/>
  <c r="F28" i="1"/>
  <c r="E23" i="8" s="1"/>
  <c r="F29" i="1" l="1"/>
  <c r="E24" i="8" s="1"/>
  <c r="F24" i="8"/>
  <c r="J24" i="8" s="1"/>
  <c r="F19" i="1"/>
  <c r="F14" i="8"/>
  <c r="G53" i="1"/>
  <c r="F19" i="8"/>
  <c r="J19" i="8" s="1"/>
  <c r="F24" i="1"/>
  <c r="E19" i="8" s="1"/>
  <c r="F17" i="8"/>
  <c r="J17" i="8" s="1"/>
  <c r="F22" i="1"/>
  <c r="E17" i="8" s="1"/>
  <c r="G60" i="1" l="1"/>
  <c r="I546" i="2"/>
  <c r="G55" i="1"/>
  <c r="G57" i="1" s="1"/>
  <c r="J14" i="8"/>
  <c r="J45" i="8" s="1"/>
  <c r="F45" i="8"/>
  <c r="E14" i="8"/>
  <c r="E45" i="8" s="1"/>
  <c r="F53" i="1"/>
  <c r="G66" i="1"/>
  <c r="G59" i="1" l="1"/>
  <c r="G64" i="1" s="1"/>
  <c r="H546" i="2"/>
  <c r="G546" i="2" s="1"/>
  <c r="F55" i="1"/>
  <c r="F60" i="1"/>
  <c r="F57" i="1"/>
  <c r="F66" i="1"/>
  <c r="H66" i="1" s="1"/>
  <c r="F59" i="1" l="1"/>
  <c r="F64" i="1" s="1"/>
</calcChain>
</file>

<file path=xl/sharedStrings.xml><?xml version="1.0" encoding="utf-8"?>
<sst xmlns="http://schemas.openxmlformats.org/spreadsheetml/2006/main" count="2184" uniqueCount="1020">
  <si>
    <t>ITV STUDIOS</t>
  </si>
  <si>
    <t>FACTUAL / ENTERTAINMENT</t>
  </si>
  <si>
    <t>Programme Budget</t>
  </si>
  <si>
    <t>Categories</t>
  </si>
  <si>
    <t>Episode</t>
  </si>
  <si>
    <t>Series</t>
  </si>
  <si>
    <t>01</t>
  </si>
  <si>
    <t>Scripts/ Formats/Development</t>
  </si>
  <si>
    <t>02</t>
  </si>
  <si>
    <t>Producer/Director</t>
  </si>
  <si>
    <t>03</t>
  </si>
  <si>
    <t>Artists</t>
  </si>
  <si>
    <t>04</t>
  </si>
  <si>
    <t>Presenters/Interviewees/Contributors</t>
  </si>
  <si>
    <t>05</t>
  </si>
  <si>
    <t>Production Unit Salaries</t>
  </si>
  <si>
    <t>06</t>
  </si>
  <si>
    <t>Assistant Directors/Continuity</t>
  </si>
  <si>
    <t>07</t>
  </si>
  <si>
    <t>Crew - Camera</t>
  </si>
  <si>
    <t>08</t>
  </si>
  <si>
    <t>Crew - Sound</t>
  </si>
  <si>
    <t>09</t>
  </si>
  <si>
    <t>Crew - Lighting</t>
  </si>
  <si>
    <t>10</t>
  </si>
  <si>
    <t>Crew - Art Department</t>
  </si>
  <si>
    <t>11</t>
  </si>
  <si>
    <t>Crew - Wardrobe/Make Up/Hair</t>
  </si>
  <si>
    <t>12</t>
  </si>
  <si>
    <t>Crew - Animation</t>
  </si>
  <si>
    <t>13</t>
  </si>
  <si>
    <t>Crew - Edit</t>
  </si>
  <si>
    <t>14</t>
  </si>
  <si>
    <t>Materials - Art Department</t>
  </si>
  <si>
    <t>15</t>
  </si>
  <si>
    <t>Materials - Wardrobe/Make Up /Hair</t>
  </si>
  <si>
    <t>16</t>
  </si>
  <si>
    <t>Production Equipment</t>
  </si>
  <si>
    <t>17</t>
  </si>
  <si>
    <t xml:space="preserve">Facility Packages </t>
  </si>
  <si>
    <t>18</t>
  </si>
  <si>
    <t>Studio &amp; Outside Broadcasts</t>
  </si>
  <si>
    <t>19</t>
  </si>
  <si>
    <t>Other Production Facilities</t>
  </si>
  <si>
    <t>20</t>
  </si>
  <si>
    <t>Film/Tape Stock</t>
  </si>
  <si>
    <t>21</t>
  </si>
  <si>
    <t>Animation Pre Production</t>
  </si>
  <si>
    <t>22</t>
  </si>
  <si>
    <t>Post Production</t>
  </si>
  <si>
    <t>23</t>
  </si>
  <si>
    <t>Library Film Archive</t>
  </si>
  <si>
    <t>24</t>
  </si>
  <si>
    <t>Graphics</t>
  </si>
  <si>
    <t>25</t>
  </si>
  <si>
    <t>Music</t>
  </si>
  <si>
    <t>26</t>
  </si>
  <si>
    <t>Travel/Transport</t>
  </si>
  <si>
    <t>27</t>
  </si>
  <si>
    <t>Hotel/Living</t>
  </si>
  <si>
    <t>28</t>
  </si>
  <si>
    <t>Other Production Costs</t>
  </si>
  <si>
    <t>29</t>
  </si>
  <si>
    <t>Finance/Legal</t>
  </si>
  <si>
    <t>30</t>
  </si>
  <si>
    <t>Production Overheads</t>
  </si>
  <si>
    <t>31</t>
  </si>
  <si>
    <t>Theatrical Performances</t>
  </si>
  <si>
    <t>32</t>
  </si>
  <si>
    <t>Contingency</t>
  </si>
  <si>
    <t>Notes</t>
  </si>
  <si>
    <t>Programme Name:</t>
  </si>
  <si>
    <t>Programme Number:</t>
  </si>
  <si>
    <t>Episodes in series:</t>
  </si>
  <si>
    <t>Episode Length:</t>
  </si>
  <si>
    <t>Broadcaster</t>
  </si>
  <si>
    <t>Version:</t>
  </si>
  <si>
    <t>Tape Delivery</t>
  </si>
  <si>
    <t>No. of Transmissions:</t>
  </si>
  <si>
    <t>Currency</t>
  </si>
  <si>
    <t/>
  </si>
  <si>
    <t>Total Production Costs</t>
  </si>
  <si>
    <t>Overheads</t>
  </si>
  <si>
    <t>Subtotal</t>
  </si>
  <si>
    <t>PRODUCTION FEE</t>
  </si>
  <si>
    <t>INSURANCE</t>
  </si>
  <si>
    <t>TOTAL COST</t>
  </si>
  <si>
    <t>Executive Producer:</t>
  </si>
  <si>
    <t>Pre Production</t>
  </si>
  <si>
    <t>Series Producer:</t>
  </si>
  <si>
    <t>Production</t>
  </si>
  <si>
    <t>Production Executive:</t>
  </si>
  <si>
    <t>Production Manager:</t>
  </si>
  <si>
    <t>Production Accountant:</t>
  </si>
  <si>
    <t>Code</t>
  </si>
  <si>
    <t>Description</t>
  </si>
  <si>
    <t>Information</t>
  </si>
  <si>
    <t>Unit</t>
  </si>
  <si>
    <t>Occ</t>
  </si>
  <si>
    <t>Rate</t>
  </si>
  <si>
    <t>Scripts/Formats/Development</t>
  </si>
  <si>
    <t>01A</t>
  </si>
  <si>
    <t>Writers Fees</t>
  </si>
  <si>
    <t>01B</t>
  </si>
  <si>
    <t>Writers Repeat Fees</t>
  </si>
  <si>
    <t>01C</t>
  </si>
  <si>
    <t>Writers Pension</t>
  </si>
  <si>
    <t>01D</t>
  </si>
  <si>
    <t>Scripts Team</t>
  </si>
  <si>
    <t>01E</t>
  </si>
  <si>
    <t>Consultancy - Scripts</t>
  </si>
  <si>
    <t>01F</t>
  </si>
  <si>
    <t>Rights / Format Fees</t>
  </si>
  <si>
    <t>01G</t>
  </si>
  <si>
    <t>Uncommissioned Writers</t>
  </si>
  <si>
    <t>01H</t>
  </si>
  <si>
    <t>Options</t>
  </si>
  <si>
    <t>01I</t>
  </si>
  <si>
    <t>Development Costs</t>
  </si>
  <si>
    <t>01J</t>
  </si>
  <si>
    <t>Storyboards</t>
  </si>
  <si>
    <t>01K</t>
  </si>
  <si>
    <t>02A</t>
  </si>
  <si>
    <t>Executive Producer</t>
  </si>
  <si>
    <t>02B</t>
  </si>
  <si>
    <t>Series Producer</t>
  </si>
  <si>
    <t>02C</t>
  </si>
  <si>
    <t>Producer</t>
  </si>
  <si>
    <t>02D</t>
  </si>
  <si>
    <t>Assistant Producer</t>
  </si>
  <si>
    <t>02E</t>
  </si>
  <si>
    <t>Producer / Director</t>
  </si>
  <si>
    <t>02F</t>
  </si>
  <si>
    <t>Director</t>
  </si>
  <si>
    <t>02G</t>
  </si>
  <si>
    <t>Series Editor</t>
  </si>
  <si>
    <t>02H</t>
  </si>
  <si>
    <t>Deputy Editor</t>
  </si>
  <si>
    <t>03A</t>
  </si>
  <si>
    <t>Performers Fees</t>
  </si>
  <si>
    <t>03B</t>
  </si>
  <si>
    <t>Performers Repeat Fees</t>
  </si>
  <si>
    <t>03C</t>
  </si>
  <si>
    <t>Performers Holiday Pay</t>
  </si>
  <si>
    <t>03D</t>
  </si>
  <si>
    <t>03E</t>
  </si>
  <si>
    <t>Production Days</t>
  </si>
  <si>
    <t>03F</t>
  </si>
  <si>
    <t>Make-Up / Wardrobe Attendance Days</t>
  </si>
  <si>
    <t>03G</t>
  </si>
  <si>
    <t>Rehearsal/Stand-By Days</t>
  </si>
  <si>
    <t>03H</t>
  </si>
  <si>
    <t>Performers Overtime</t>
  </si>
  <si>
    <t>03I</t>
  </si>
  <si>
    <t>Stunts</t>
  </si>
  <si>
    <t>03J</t>
  </si>
  <si>
    <t>Choreographer</t>
  </si>
  <si>
    <t>03K</t>
  </si>
  <si>
    <t>Chaperones / Tutors</t>
  </si>
  <si>
    <t>03L</t>
  </si>
  <si>
    <t>Puppeteers</t>
  </si>
  <si>
    <t>03M</t>
  </si>
  <si>
    <t>Extras / Walk-Ons</t>
  </si>
  <si>
    <t>03N</t>
  </si>
  <si>
    <t>Doubles &amp; Stand-Ins</t>
  </si>
  <si>
    <t>03O</t>
  </si>
  <si>
    <t>Dancers</t>
  </si>
  <si>
    <t>03P</t>
  </si>
  <si>
    <t>Backing Vocals</t>
  </si>
  <si>
    <t>03Q</t>
  </si>
  <si>
    <t>Warm-Up Artist</t>
  </si>
  <si>
    <t>03R</t>
  </si>
  <si>
    <t>03S</t>
  </si>
  <si>
    <t>Performers Guarentees</t>
  </si>
  <si>
    <t>04A</t>
  </si>
  <si>
    <t>Presenters</t>
  </si>
  <si>
    <t>04B</t>
  </si>
  <si>
    <t>Contributors</t>
  </si>
  <si>
    <t>04C</t>
  </si>
  <si>
    <t>Narrators / Voice-Overs</t>
  </si>
  <si>
    <t>04D</t>
  </si>
  <si>
    <t>Guests / Interviewees</t>
  </si>
  <si>
    <t>04E</t>
  </si>
  <si>
    <t>Consultants</t>
  </si>
  <si>
    <t>04F</t>
  </si>
  <si>
    <t>Foreign Staff Fees</t>
  </si>
  <si>
    <t>04G</t>
  </si>
  <si>
    <t>Deaf Signer</t>
  </si>
  <si>
    <t>04H</t>
  </si>
  <si>
    <t>Weather Presenter</t>
  </si>
  <si>
    <t>04I</t>
  </si>
  <si>
    <t>Psychologist</t>
  </si>
  <si>
    <t>05A</t>
  </si>
  <si>
    <t>Associate Producer</t>
  </si>
  <si>
    <t>05B</t>
  </si>
  <si>
    <t>Line Producer</t>
  </si>
  <si>
    <t>05C</t>
  </si>
  <si>
    <t>Production Manager</t>
  </si>
  <si>
    <t>05D</t>
  </si>
  <si>
    <t>Location Manager</t>
  </si>
  <si>
    <t>05E</t>
  </si>
  <si>
    <t>Assistant Location Manager</t>
  </si>
  <si>
    <t>05F</t>
  </si>
  <si>
    <t>Unit Manager</t>
  </si>
  <si>
    <t>05G</t>
  </si>
  <si>
    <t>Unit Assistant</t>
  </si>
  <si>
    <t>05H</t>
  </si>
  <si>
    <t>Production Executive</t>
  </si>
  <si>
    <t>05I</t>
  </si>
  <si>
    <t>Production Co-Ordinator</t>
  </si>
  <si>
    <t>05J</t>
  </si>
  <si>
    <t>Production Secretary</t>
  </si>
  <si>
    <t>05K</t>
  </si>
  <si>
    <t>Production Assistant</t>
  </si>
  <si>
    <t>05L</t>
  </si>
  <si>
    <t>Runner</t>
  </si>
  <si>
    <t>05M</t>
  </si>
  <si>
    <t>Production Accountant</t>
  </si>
  <si>
    <t>05N</t>
  </si>
  <si>
    <t>Assistant Accountant</t>
  </si>
  <si>
    <t>05O</t>
  </si>
  <si>
    <t>Researcher</t>
  </si>
  <si>
    <t>05P</t>
  </si>
  <si>
    <t>Film Researcher</t>
  </si>
  <si>
    <t>05Q</t>
  </si>
  <si>
    <t>Research Assistant</t>
  </si>
  <si>
    <t>05R</t>
  </si>
  <si>
    <t>Librarian</t>
  </si>
  <si>
    <t>05S</t>
  </si>
  <si>
    <t>Logger</t>
  </si>
  <si>
    <t>05T</t>
  </si>
  <si>
    <t>Stage Manager</t>
  </si>
  <si>
    <t>05U</t>
  </si>
  <si>
    <t>Casting Director</t>
  </si>
  <si>
    <t>05V</t>
  </si>
  <si>
    <t>Bulletin Controller</t>
  </si>
  <si>
    <t>05W</t>
  </si>
  <si>
    <t>Programme Operative</t>
  </si>
  <si>
    <t>05X</t>
  </si>
  <si>
    <t>Web Designer</t>
  </si>
  <si>
    <t>05Y</t>
  </si>
  <si>
    <t>Journalist</t>
  </si>
  <si>
    <t>05Z</t>
  </si>
  <si>
    <t>Admin Functions</t>
  </si>
  <si>
    <t>05AA</t>
  </si>
  <si>
    <t>Drivers</t>
  </si>
  <si>
    <t>05AB</t>
  </si>
  <si>
    <t>Phone-In Staff</t>
  </si>
  <si>
    <t>05AC</t>
  </si>
  <si>
    <t>Ushers / Stewards</t>
  </si>
  <si>
    <t>05AD</t>
  </si>
  <si>
    <t>Work Experience</t>
  </si>
  <si>
    <t>05AE</t>
  </si>
  <si>
    <t>Celebrity Booker</t>
  </si>
  <si>
    <t>05AF</t>
  </si>
  <si>
    <t>Question Setter</t>
  </si>
  <si>
    <t>05AG</t>
  </si>
  <si>
    <t>Question Verifier</t>
  </si>
  <si>
    <t>06A</t>
  </si>
  <si>
    <t>1st Assistant Director</t>
  </si>
  <si>
    <t>06B</t>
  </si>
  <si>
    <t>2nd Assistant Director</t>
  </si>
  <si>
    <t>06C</t>
  </si>
  <si>
    <t>3rd Assistant Director</t>
  </si>
  <si>
    <t>06D</t>
  </si>
  <si>
    <t>Floor Manager</t>
  </si>
  <si>
    <t>06E</t>
  </si>
  <si>
    <t>Assistant Floor Manager</t>
  </si>
  <si>
    <t>06F</t>
  </si>
  <si>
    <t>Location / Production Runner</t>
  </si>
  <si>
    <t>06G</t>
  </si>
  <si>
    <t>Continuity / Script Supervisor</t>
  </si>
  <si>
    <t>07A</t>
  </si>
  <si>
    <t>Director of Photography</t>
  </si>
  <si>
    <t>07B</t>
  </si>
  <si>
    <t>Camera Supervisor</t>
  </si>
  <si>
    <t>07C</t>
  </si>
  <si>
    <t>Camera Operator</t>
  </si>
  <si>
    <t>07D</t>
  </si>
  <si>
    <t>HD Camera Operator</t>
  </si>
  <si>
    <t>07E</t>
  </si>
  <si>
    <t>Camera Assistant / Trainee</t>
  </si>
  <si>
    <t>07F</t>
  </si>
  <si>
    <t>Key Grips</t>
  </si>
  <si>
    <t>07G</t>
  </si>
  <si>
    <t>Grips / Assistant Grips</t>
  </si>
  <si>
    <t>07H</t>
  </si>
  <si>
    <t>Vision Controller / Supervisor</t>
  </si>
  <si>
    <t>07I</t>
  </si>
  <si>
    <t>Vision Mixer</t>
  </si>
  <si>
    <t>07J</t>
  </si>
  <si>
    <t>Vision Engineer</t>
  </si>
  <si>
    <t>07K</t>
  </si>
  <si>
    <t>Focus Puller</t>
  </si>
  <si>
    <t>07L</t>
  </si>
  <si>
    <t>Clapper Loader</t>
  </si>
  <si>
    <t>08A</t>
  </si>
  <si>
    <t>Sound Supervisor</t>
  </si>
  <si>
    <t>08B</t>
  </si>
  <si>
    <t>Sound Recordist</t>
  </si>
  <si>
    <t>08C</t>
  </si>
  <si>
    <t>HD Sound Recordist</t>
  </si>
  <si>
    <t>08D</t>
  </si>
  <si>
    <t>Sound Assistant</t>
  </si>
  <si>
    <t>08E</t>
  </si>
  <si>
    <t>Sound Technician</t>
  </si>
  <si>
    <t>08F</t>
  </si>
  <si>
    <t>Boom Op / Sound Maintenance Engineer</t>
  </si>
  <si>
    <t>09A</t>
  </si>
  <si>
    <t>Lighting Gaffer</t>
  </si>
  <si>
    <t>09B</t>
  </si>
  <si>
    <t>Lighting Director</t>
  </si>
  <si>
    <t>09C</t>
  </si>
  <si>
    <t>Lighting Dailies</t>
  </si>
  <si>
    <t>09D</t>
  </si>
  <si>
    <t>Chargehand Electrician / Best Boy</t>
  </si>
  <si>
    <t>09E</t>
  </si>
  <si>
    <t>Electrician</t>
  </si>
  <si>
    <t>09F</t>
  </si>
  <si>
    <t>Generator Operator</t>
  </si>
  <si>
    <t>09G</t>
  </si>
  <si>
    <t>Console Operator</t>
  </si>
  <si>
    <t>09H</t>
  </si>
  <si>
    <t>Picture Co-Ordinator</t>
  </si>
  <si>
    <t>10A</t>
  </si>
  <si>
    <t>Designer</t>
  </si>
  <si>
    <t>10B</t>
  </si>
  <si>
    <t>Art Director</t>
  </si>
  <si>
    <t>10C</t>
  </si>
  <si>
    <t>Standby Art Director</t>
  </si>
  <si>
    <t>10D</t>
  </si>
  <si>
    <t>Design Assistant</t>
  </si>
  <si>
    <t>10E</t>
  </si>
  <si>
    <t>Design Runner</t>
  </si>
  <si>
    <t>10F</t>
  </si>
  <si>
    <t>Rigger</t>
  </si>
  <si>
    <t>10G</t>
  </si>
  <si>
    <t>Prop Buyer</t>
  </si>
  <si>
    <t>10H</t>
  </si>
  <si>
    <t>Property Master</t>
  </si>
  <si>
    <t>10I</t>
  </si>
  <si>
    <t>Props / Set Storekeeper</t>
  </si>
  <si>
    <t>10J</t>
  </si>
  <si>
    <t>Dressing Props</t>
  </si>
  <si>
    <t>10K</t>
  </si>
  <si>
    <t>Standby Props</t>
  </si>
  <si>
    <t>10L</t>
  </si>
  <si>
    <t>Props Dailies</t>
  </si>
  <si>
    <t>10M</t>
  </si>
  <si>
    <t>Carpenter</t>
  </si>
  <si>
    <t>10N</t>
  </si>
  <si>
    <t>Painter</t>
  </si>
  <si>
    <t>10O</t>
  </si>
  <si>
    <t>Construction Manager / Scenic Supervisor</t>
  </si>
  <si>
    <t>10P</t>
  </si>
  <si>
    <t>Construction Labour</t>
  </si>
  <si>
    <t>10Q</t>
  </si>
  <si>
    <t>Scenic Artist</t>
  </si>
  <si>
    <t>10R</t>
  </si>
  <si>
    <t>Signwriter</t>
  </si>
  <si>
    <t>10S</t>
  </si>
  <si>
    <t>Stagehand / Chargehand</t>
  </si>
  <si>
    <t>10T</t>
  </si>
  <si>
    <t>Drapesman</t>
  </si>
  <si>
    <t>10U</t>
  </si>
  <si>
    <t>Safety Co-Ordinator</t>
  </si>
  <si>
    <t>10V</t>
  </si>
  <si>
    <t>Plumber</t>
  </si>
  <si>
    <t>10W</t>
  </si>
  <si>
    <t>Environmental Conservation</t>
  </si>
  <si>
    <t>11A</t>
  </si>
  <si>
    <t>Costume Designer</t>
  </si>
  <si>
    <t>11B</t>
  </si>
  <si>
    <t>Costume Supervisor</t>
  </si>
  <si>
    <t>11C</t>
  </si>
  <si>
    <t>Assistant Costume Designer</t>
  </si>
  <si>
    <t>11D</t>
  </si>
  <si>
    <t>Costume Assistant</t>
  </si>
  <si>
    <t>11E</t>
  </si>
  <si>
    <t>Costume Dailies</t>
  </si>
  <si>
    <t>11F</t>
  </si>
  <si>
    <t>Dresser</t>
  </si>
  <si>
    <t>11G</t>
  </si>
  <si>
    <t>Make-Up Designer</t>
  </si>
  <si>
    <t>11H</t>
  </si>
  <si>
    <t>Make-Up Supervisor</t>
  </si>
  <si>
    <t>11I</t>
  </si>
  <si>
    <t>Make-Up Artist</t>
  </si>
  <si>
    <t>11J</t>
  </si>
  <si>
    <t>Make-Up Assistant</t>
  </si>
  <si>
    <t>11K</t>
  </si>
  <si>
    <t>Make-Up Daillies</t>
  </si>
  <si>
    <t>11L</t>
  </si>
  <si>
    <t>Hairdresser</t>
  </si>
  <si>
    <t>12A</t>
  </si>
  <si>
    <t>Model Animators</t>
  </si>
  <si>
    <t>12B</t>
  </si>
  <si>
    <t>Flash Animators / 2D Animators</t>
  </si>
  <si>
    <t>12C</t>
  </si>
  <si>
    <t>CGI / 3D Animators</t>
  </si>
  <si>
    <t>12D</t>
  </si>
  <si>
    <t>Drawn Animators</t>
  </si>
  <si>
    <t>12E</t>
  </si>
  <si>
    <t>Overseas Animation</t>
  </si>
  <si>
    <t>12F</t>
  </si>
  <si>
    <t>Overseas Supervisor</t>
  </si>
  <si>
    <t>13A</t>
  </si>
  <si>
    <t>Post Production Supervisor</t>
  </si>
  <si>
    <t>13B</t>
  </si>
  <si>
    <t>Editor</t>
  </si>
  <si>
    <t>13C</t>
  </si>
  <si>
    <t>Editor Overtime</t>
  </si>
  <si>
    <t>13D</t>
  </si>
  <si>
    <t>Assistant Editor</t>
  </si>
  <si>
    <t>13E</t>
  </si>
  <si>
    <t>VT Editor</t>
  </si>
  <si>
    <t>13F</t>
  </si>
  <si>
    <t>Dubbing Editor</t>
  </si>
  <si>
    <t>13G</t>
  </si>
  <si>
    <t>Dubbing Assistant</t>
  </si>
  <si>
    <t>13H</t>
  </si>
  <si>
    <t>Dubbing Mixer</t>
  </si>
  <si>
    <t>13I</t>
  </si>
  <si>
    <t>Post Production Assistant / Runner</t>
  </si>
  <si>
    <t>13J</t>
  </si>
  <si>
    <t>Transfer Assistant</t>
  </si>
  <si>
    <t>13K</t>
  </si>
  <si>
    <t>Telecine Engineer</t>
  </si>
  <si>
    <t>13L</t>
  </si>
  <si>
    <t>Captions Operator</t>
  </si>
  <si>
    <t>14A</t>
  </si>
  <si>
    <t>Sets and Scenery</t>
  </si>
  <si>
    <t>14B</t>
  </si>
  <si>
    <t>Props Purchased</t>
  </si>
  <si>
    <t>14C</t>
  </si>
  <si>
    <t>Props Hired</t>
  </si>
  <si>
    <t>14D</t>
  </si>
  <si>
    <t>Sets and Props Storage</t>
  </si>
  <si>
    <t>14E</t>
  </si>
  <si>
    <t>Sets and Props Transport</t>
  </si>
  <si>
    <t>14F</t>
  </si>
  <si>
    <t>Action Vehicles</t>
  </si>
  <si>
    <t>14G</t>
  </si>
  <si>
    <t>Special Effects - Materials - Art Dept</t>
  </si>
  <si>
    <t>14H</t>
  </si>
  <si>
    <t>Star Cloth</t>
  </si>
  <si>
    <t>14I</t>
  </si>
  <si>
    <t>Scoring Equipment</t>
  </si>
  <si>
    <t>14J</t>
  </si>
  <si>
    <t>Art Department Consumables</t>
  </si>
  <si>
    <t>14K</t>
  </si>
  <si>
    <t>Animals and Handlers</t>
  </si>
  <si>
    <t>14L</t>
  </si>
  <si>
    <t>Props - Loss and Damage</t>
  </si>
  <si>
    <t>14M</t>
  </si>
  <si>
    <t>Armourer</t>
  </si>
  <si>
    <t>14N</t>
  </si>
  <si>
    <t>Construction Workshop</t>
  </si>
  <si>
    <t>15A</t>
  </si>
  <si>
    <t>Costumes Purchased</t>
  </si>
  <si>
    <t>15B</t>
  </si>
  <si>
    <t>Costumes Hired</t>
  </si>
  <si>
    <t>15C</t>
  </si>
  <si>
    <t>Costumes Sundries</t>
  </si>
  <si>
    <t>15D</t>
  </si>
  <si>
    <t>Costumes / Make-up Box Allowances</t>
  </si>
  <si>
    <t>15E</t>
  </si>
  <si>
    <t>Artist Dress Allowance</t>
  </si>
  <si>
    <t>15F</t>
  </si>
  <si>
    <t>Make-Up</t>
  </si>
  <si>
    <t>15G</t>
  </si>
  <si>
    <t>Wigs</t>
  </si>
  <si>
    <t>15H</t>
  </si>
  <si>
    <t>Hair Cuts</t>
  </si>
  <si>
    <t>15I</t>
  </si>
  <si>
    <t>Prosthetics</t>
  </si>
  <si>
    <t>16A</t>
  </si>
  <si>
    <t>Camera Equipment</t>
  </si>
  <si>
    <t>16B</t>
  </si>
  <si>
    <t>Steadicam</t>
  </si>
  <si>
    <t>16C</t>
  </si>
  <si>
    <t>DV Hire</t>
  </si>
  <si>
    <t>16D</t>
  </si>
  <si>
    <t>Camera Consumables</t>
  </si>
  <si>
    <t>16E</t>
  </si>
  <si>
    <t>Grip Equipment</t>
  </si>
  <si>
    <t>16F</t>
  </si>
  <si>
    <t>Sound Equipment</t>
  </si>
  <si>
    <t>16G</t>
  </si>
  <si>
    <t>Sound Consumables</t>
  </si>
  <si>
    <t>16H</t>
  </si>
  <si>
    <t>Lighting Equipment</t>
  </si>
  <si>
    <t>16I</t>
  </si>
  <si>
    <t>HD Equipment</t>
  </si>
  <si>
    <t>16J</t>
  </si>
  <si>
    <t>Lighting Consumables</t>
  </si>
  <si>
    <t>16K</t>
  </si>
  <si>
    <t>Autocue</t>
  </si>
  <si>
    <t>16L</t>
  </si>
  <si>
    <t>Projector</t>
  </si>
  <si>
    <t>16M</t>
  </si>
  <si>
    <t>Towers &amp; Cherry Pickers</t>
  </si>
  <si>
    <t>16N</t>
  </si>
  <si>
    <t>Techno Crane / Cranes inc Jimmy Jib</t>
  </si>
  <si>
    <t>16O</t>
  </si>
  <si>
    <t>Scaffolding</t>
  </si>
  <si>
    <t>16P</t>
  </si>
  <si>
    <t>Electrical  Equipment</t>
  </si>
  <si>
    <t>16Q</t>
  </si>
  <si>
    <t>Generators</t>
  </si>
  <si>
    <t>16R</t>
  </si>
  <si>
    <t>Walkie Talkies</t>
  </si>
  <si>
    <t>16S</t>
  </si>
  <si>
    <t>Wide Angle Lens</t>
  </si>
  <si>
    <t>16T</t>
  </si>
  <si>
    <t>Miscellaneous Production Equipment</t>
  </si>
  <si>
    <t>16U</t>
  </si>
  <si>
    <t>Jimmy Jib</t>
  </si>
  <si>
    <t>16V</t>
  </si>
  <si>
    <t>Covert Filming Equipment</t>
  </si>
  <si>
    <t>16W</t>
  </si>
  <si>
    <t>CGI Animation Computer Equipment</t>
  </si>
  <si>
    <t>16X</t>
  </si>
  <si>
    <t>Low Loaders / A Frames</t>
  </si>
  <si>
    <t>17A</t>
  </si>
  <si>
    <t>Facility Packages</t>
  </si>
  <si>
    <t>17B</t>
  </si>
  <si>
    <t>Camera Crews (Incl. Equipment)</t>
  </si>
  <si>
    <t>17C</t>
  </si>
  <si>
    <t>Video Stringers</t>
  </si>
  <si>
    <t>17D</t>
  </si>
  <si>
    <t>Second Unit</t>
  </si>
  <si>
    <t>17E</t>
  </si>
  <si>
    <t>Second Camera</t>
  </si>
  <si>
    <t>18A</t>
  </si>
  <si>
    <t>Studio</t>
  </si>
  <si>
    <t>18B</t>
  </si>
  <si>
    <t>Sound Mobile</t>
  </si>
  <si>
    <t>18C</t>
  </si>
  <si>
    <t>Studio Security</t>
  </si>
  <si>
    <t>18D</t>
  </si>
  <si>
    <t>Audiences and Tickets</t>
  </si>
  <si>
    <t>18E</t>
  </si>
  <si>
    <t>VT Engineer</t>
  </si>
  <si>
    <t>18F</t>
  </si>
  <si>
    <t>Studio Crew</t>
  </si>
  <si>
    <t>18G</t>
  </si>
  <si>
    <t>Technical Supervisor</t>
  </si>
  <si>
    <t>18H</t>
  </si>
  <si>
    <t>Engineer</t>
  </si>
  <si>
    <t>18I</t>
  </si>
  <si>
    <t>Technical Assistant</t>
  </si>
  <si>
    <t>18J</t>
  </si>
  <si>
    <t>CTF / MCR Labour</t>
  </si>
  <si>
    <t>18K</t>
  </si>
  <si>
    <t>OB Unit</t>
  </si>
  <si>
    <t>18L</t>
  </si>
  <si>
    <t>OB Security</t>
  </si>
  <si>
    <t>18M</t>
  </si>
  <si>
    <t>Power</t>
  </si>
  <si>
    <t>18N</t>
  </si>
  <si>
    <t>Cranes</t>
  </si>
  <si>
    <t>18O</t>
  </si>
  <si>
    <t>Air Conditioning</t>
  </si>
  <si>
    <t>18P</t>
  </si>
  <si>
    <t>Waste Disposal</t>
  </si>
  <si>
    <t>18Q</t>
  </si>
  <si>
    <t>Studio and OB Consumables</t>
  </si>
  <si>
    <t>18R</t>
  </si>
  <si>
    <t>Water</t>
  </si>
  <si>
    <t>18S</t>
  </si>
  <si>
    <t>Commentary Positions</t>
  </si>
  <si>
    <t>18T</t>
  </si>
  <si>
    <t>Lines Bookings</t>
  </si>
  <si>
    <t>18U</t>
  </si>
  <si>
    <t>Lines Feeds</t>
  </si>
  <si>
    <t>19A</t>
  </si>
  <si>
    <t>Location  Facility Fees</t>
  </si>
  <si>
    <t>19B</t>
  </si>
  <si>
    <t>Location Security</t>
  </si>
  <si>
    <t>19C</t>
  </si>
  <si>
    <t>Catering - Dining Bus / Fuel</t>
  </si>
  <si>
    <t>19D</t>
  </si>
  <si>
    <t>Catering - Meals</t>
  </si>
  <si>
    <t>19E</t>
  </si>
  <si>
    <t>Catering - Labour / Overtime</t>
  </si>
  <si>
    <t>19F</t>
  </si>
  <si>
    <t>Honey Wagon /  Portaloos</t>
  </si>
  <si>
    <t>19G</t>
  </si>
  <si>
    <t>Make-Up / Wardrobe Trailers</t>
  </si>
  <si>
    <t>19H</t>
  </si>
  <si>
    <t>Service Vehicles</t>
  </si>
  <si>
    <t>19I</t>
  </si>
  <si>
    <t>Winnebagoes</t>
  </si>
  <si>
    <t>19J</t>
  </si>
  <si>
    <t>Other Hired Transport</t>
  </si>
  <si>
    <t>19K</t>
  </si>
  <si>
    <t>Helicopter / Boat Hire</t>
  </si>
  <si>
    <t>19L</t>
  </si>
  <si>
    <t>Satellite Links</t>
  </si>
  <si>
    <t>19M</t>
  </si>
  <si>
    <t>Telecom Lines / Cable Fees</t>
  </si>
  <si>
    <t>19N</t>
  </si>
  <si>
    <t>Playouts</t>
  </si>
  <si>
    <t>19O</t>
  </si>
  <si>
    <t>Medical / Health &amp; Safety</t>
  </si>
  <si>
    <t>19P</t>
  </si>
  <si>
    <t>Facilities Deal</t>
  </si>
  <si>
    <t>19Q</t>
  </si>
  <si>
    <t>Facilities Fuel</t>
  </si>
  <si>
    <t>19R</t>
  </si>
  <si>
    <t>Other Hired Facilities</t>
  </si>
  <si>
    <t>19S</t>
  </si>
  <si>
    <t>Rehearsal Rooms</t>
  </si>
  <si>
    <t>19T</t>
  </si>
  <si>
    <t>Readthrough Facilities</t>
  </si>
  <si>
    <t>20A</t>
  </si>
  <si>
    <t>Tape Stock</t>
  </si>
  <si>
    <t>20B</t>
  </si>
  <si>
    <t>Film Stock</t>
  </si>
  <si>
    <t>20C</t>
  </si>
  <si>
    <t>Sound Tape Stock</t>
  </si>
  <si>
    <t>21A</t>
  </si>
  <si>
    <t>Voice Record Studio</t>
  </si>
  <si>
    <t>21B</t>
  </si>
  <si>
    <t>Voice Record Expenses</t>
  </si>
  <si>
    <t>21C</t>
  </si>
  <si>
    <t>Cut Track</t>
  </si>
  <si>
    <t>21D</t>
  </si>
  <si>
    <t>Dialogue Assembly</t>
  </si>
  <si>
    <t>21E</t>
  </si>
  <si>
    <t>Dialogue Fine Cut</t>
  </si>
  <si>
    <t>21F</t>
  </si>
  <si>
    <t>Barsheets</t>
  </si>
  <si>
    <t>21G</t>
  </si>
  <si>
    <t>Animatics</t>
  </si>
  <si>
    <t>21H</t>
  </si>
  <si>
    <t>X-Sheets</t>
  </si>
  <si>
    <t>21I</t>
  </si>
  <si>
    <t>Layouts</t>
  </si>
  <si>
    <t>21J</t>
  </si>
  <si>
    <t>Slugging</t>
  </si>
  <si>
    <t>22A</t>
  </si>
  <si>
    <t>Logging / Digitising</t>
  </si>
  <si>
    <t>22B</t>
  </si>
  <si>
    <t>Neg Processing / Transfer / Sync</t>
  </si>
  <si>
    <t>22C</t>
  </si>
  <si>
    <t>Avid / Lightworks Online</t>
  </si>
  <si>
    <t>22D</t>
  </si>
  <si>
    <t>Linear Online</t>
  </si>
  <si>
    <t>22E</t>
  </si>
  <si>
    <t>Avid / Lightworks Offline</t>
  </si>
  <si>
    <t>22F</t>
  </si>
  <si>
    <t>Memory</t>
  </si>
  <si>
    <t>22G</t>
  </si>
  <si>
    <t>Conform / Online</t>
  </si>
  <si>
    <t>22H</t>
  </si>
  <si>
    <t>Negative Cutting</t>
  </si>
  <si>
    <t>22I</t>
  </si>
  <si>
    <t>Sound Conform / Tracklay</t>
  </si>
  <si>
    <t>22J</t>
  </si>
  <si>
    <t>Grade / Telecine</t>
  </si>
  <si>
    <t>22K</t>
  </si>
  <si>
    <t>Dub / Mix</t>
  </si>
  <si>
    <t>22L</t>
  </si>
  <si>
    <t>Voice-Over / ADR</t>
  </si>
  <si>
    <t>22M</t>
  </si>
  <si>
    <t>Lay Back</t>
  </si>
  <si>
    <t>22N</t>
  </si>
  <si>
    <t>Standards Conversion</t>
  </si>
  <si>
    <t>22O</t>
  </si>
  <si>
    <t>Final Assembly</t>
  </si>
  <si>
    <t>22P</t>
  </si>
  <si>
    <t>Rostrum</t>
  </si>
  <si>
    <t>22Q</t>
  </si>
  <si>
    <t>Post Production Special Effects</t>
  </si>
  <si>
    <t>22R</t>
  </si>
  <si>
    <t>Post Production Packages</t>
  </si>
  <si>
    <t>22S</t>
  </si>
  <si>
    <t>Post Production Tapes</t>
  </si>
  <si>
    <t>22T</t>
  </si>
  <si>
    <t>Transfers</t>
  </si>
  <si>
    <t>22U</t>
  </si>
  <si>
    <t>Media Management</t>
  </si>
  <si>
    <t>22V</t>
  </si>
  <si>
    <t>Technical Check</t>
  </si>
  <si>
    <t>22W</t>
  </si>
  <si>
    <t>HD Facilities</t>
  </si>
  <si>
    <t>22X</t>
  </si>
  <si>
    <t>Desk Top Editing</t>
  </si>
  <si>
    <t>22Y</t>
  </si>
  <si>
    <t>International Version</t>
  </si>
  <si>
    <t>23A</t>
  </si>
  <si>
    <t>Archive Royalties</t>
  </si>
  <si>
    <t>23B</t>
  </si>
  <si>
    <t>Archive / Stills Processing</t>
  </si>
  <si>
    <t>23C</t>
  </si>
  <si>
    <t>Stills Royalties</t>
  </si>
  <si>
    <t>23D</t>
  </si>
  <si>
    <t>Library Facilities</t>
  </si>
  <si>
    <t>23E</t>
  </si>
  <si>
    <t>Research Materials</t>
  </si>
  <si>
    <t>23F</t>
  </si>
  <si>
    <t>Finders Fees</t>
  </si>
  <si>
    <t>24A</t>
  </si>
  <si>
    <t>Graphics - In Programme</t>
  </si>
  <si>
    <t>24B</t>
  </si>
  <si>
    <t>Titles</t>
  </si>
  <si>
    <t>24C</t>
  </si>
  <si>
    <t>Animation</t>
  </si>
  <si>
    <t>24D</t>
  </si>
  <si>
    <t>Crew - Graphics</t>
  </si>
  <si>
    <t>24E</t>
  </si>
  <si>
    <t>Desk Top Publishing</t>
  </si>
  <si>
    <t>24F</t>
  </si>
  <si>
    <t>24G</t>
  </si>
  <si>
    <t>Scoring Package</t>
  </si>
  <si>
    <t>25A</t>
  </si>
  <si>
    <t>Composed Music</t>
  </si>
  <si>
    <t>25B</t>
  </si>
  <si>
    <t>Musical Director</t>
  </si>
  <si>
    <t>25C</t>
  </si>
  <si>
    <t>Hired Musicians</t>
  </si>
  <si>
    <t>25D</t>
  </si>
  <si>
    <t>PPL / VPL</t>
  </si>
  <si>
    <t>25E</t>
  </si>
  <si>
    <t>Signature Tune</t>
  </si>
  <si>
    <t>25F</t>
  </si>
  <si>
    <t>Recording Studios</t>
  </si>
  <si>
    <t>25G</t>
  </si>
  <si>
    <t>Tape Usage</t>
  </si>
  <si>
    <t>25H</t>
  </si>
  <si>
    <t>Instruments</t>
  </si>
  <si>
    <t>25I</t>
  </si>
  <si>
    <t>Doubling</t>
  </si>
  <si>
    <t>25J</t>
  </si>
  <si>
    <t>Porterage</t>
  </si>
  <si>
    <t>25K</t>
  </si>
  <si>
    <t>Arranging</t>
  </si>
  <si>
    <t>25L</t>
  </si>
  <si>
    <t>Copying</t>
  </si>
  <si>
    <t>25M</t>
  </si>
  <si>
    <t>Music - Other</t>
  </si>
  <si>
    <t>26A</t>
  </si>
  <si>
    <t>Coach &amp; Minibus Hire</t>
  </si>
  <si>
    <t>26B</t>
  </si>
  <si>
    <t>Cars / Car Hire (UK)</t>
  </si>
  <si>
    <t>26C</t>
  </si>
  <si>
    <t>Fuel</t>
  </si>
  <si>
    <t>26D</t>
  </si>
  <si>
    <t>Carriage / Taxis / Bikes</t>
  </si>
  <si>
    <t>26E</t>
  </si>
  <si>
    <t>Freight, Customs &amp; Excess Baggage</t>
  </si>
  <si>
    <t>26F</t>
  </si>
  <si>
    <t>Carnets / Permits / Visas</t>
  </si>
  <si>
    <t>26G</t>
  </si>
  <si>
    <t>UK Mileage</t>
  </si>
  <si>
    <t>26H</t>
  </si>
  <si>
    <t>UK Air Fares</t>
  </si>
  <si>
    <t>26I</t>
  </si>
  <si>
    <t>UK Rail Fares</t>
  </si>
  <si>
    <t>26J</t>
  </si>
  <si>
    <t>UK Ferries</t>
  </si>
  <si>
    <t>26K</t>
  </si>
  <si>
    <t>UK Taxis</t>
  </si>
  <si>
    <t>26L</t>
  </si>
  <si>
    <t>UK Other Travel</t>
  </si>
  <si>
    <t>26M</t>
  </si>
  <si>
    <t>Overseas Air Fares</t>
  </si>
  <si>
    <t>26N</t>
  </si>
  <si>
    <t>Overseas Rail Fares</t>
  </si>
  <si>
    <t>26O</t>
  </si>
  <si>
    <t>Overseas Ferries</t>
  </si>
  <si>
    <t>26P</t>
  </si>
  <si>
    <t>Overseas Taxis</t>
  </si>
  <si>
    <t>26Q</t>
  </si>
  <si>
    <t>Overseas Car Hire</t>
  </si>
  <si>
    <t>26R</t>
  </si>
  <si>
    <t>Overseas Fuel</t>
  </si>
  <si>
    <t>26S</t>
  </si>
  <si>
    <t>Overseas Other Travel</t>
  </si>
  <si>
    <t>26T</t>
  </si>
  <si>
    <t>Awards Ceremonies Travel &amp; Transport</t>
  </si>
  <si>
    <t>26U</t>
  </si>
  <si>
    <t>Writers Expenses</t>
  </si>
  <si>
    <t>26V</t>
  </si>
  <si>
    <t>Presenters Expenses</t>
  </si>
  <si>
    <t>26W</t>
  </si>
  <si>
    <t>Performers Travel</t>
  </si>
  <si>
    <t>26X</t>
  </si>
  <si>
    <t>Other Artist Expenses</t>
  </si>
  <si>
    <t>26Y</t>
  </si>
  <si>
    <t>UK Parking</t>
  </si>
  <si>
    <t>27A</t>
  </si>
  <si>
    <t>Hospitality</t>
  </si>
  <si>
    <t>27B</t>
  </si>
  <si>
    <t>Foreign Staff Expenses</t>
  </si>
  <si>
    <t>27C</t>
  </si>
  <si>
    <t>Crew Meals</t>
  </si>
  <si>
    <t>27D</t>
  </si>
  <si>
    <t>UK Accommodation Allowances</t>
  </si>
  <si>
    <t>27E</t>
  </si>
  <si>
    <t>UK Per Diems</t>
  </si>
  <si>
    <t>27F</t>
  </si>
  <si>
    <t>UK Meal Allowances</t>
  </si>
  <si>
    <t>27G</t>
  </si>
  <si>
    <t>UK Hotel Bills</t>
  </si>
  <si>
    <t>27H</t>
  </si>
  <si>
    <t>UK Meal Bills</t>
  </si>
  <si>
    <t>27I</t>
  </si>
  <si>
    <t>UK Entertaining &amp; Gratuities</t>
  </si>
  <si>
    <t>27J</t>
  </si>
  <si>
    <t>UK Other Hotel &amp; Living</t>
  </si>
  <si>
    <t>27K</t>
  </si>
  <si>
    <t>Overseas Accommodation Allowances</t>
  </si>
  <si>
    <t>27L</t>
  </si>
  <si>
    <t>Overseas Per Diems</t>
  </si>
  <si>
    <t>27M</t>
  </si>
  <si>
    <t>Overseas Meal Allowances</t>
  </si>
  <si>
    <t>27N</t>
  </si>
  <si>
    <t>Overseas Hotel Bills</t>
  </si>
  <si>
    <t>27O</t>
  </si>
  <si>
    <t>Overseas Meal Bills</t>
  </si>
  <si>
    <t>27P</t>
  </si>
  <si>
    <t>Overseas Entertaining &amp; Gratuities</t>
  </si>
  <si>
    <t>27Q</t>
  </si>
  <si>
    <t>Overseas Other Hotel &amp; Living</t>
  </si>
  <si>
    <t>27R</t>
  </si>
  <si>
    <t>Phone Expenses</t>
  </si>
  <si>
    <t>27S</t>
  </si>
  <si>
    <t>Awards Ceremonies Hotel &amp; Living</t>
  </si>
  <si>
    <t>27T</t>
  </si>
  <si>
    <t>Performers Hotel/living</t>
  </si>
  <si>
    <t>28A</t>
  </si>
  <si>
    <t>Prizes</t>
  </si>
  <si>
    <t>28B</t>
  </si>
  <si>
    <t>Surveys &amp; Opinion Polls</t>
  </si>
  <si>
    <t>28C</t>
  </si>
  <si>
    <t>Newspapers and Books</t>
  </si>
  <si>
    <t>28D</t>
  </si>
  <si>
    <t>Search Engines</t>
  </si>
  <si>
    <t>28E</t>
  </si>
  <si>
    <t>Transcriptions &amp; Translations</t>
  </si>
  <si>
    <t>28F</t>
  </si>
  <si>
    <t>Recce Costs</t>
  </si>
  <si>
    <t>28G</t>
  </si>
  <si>
    <t>Advertising</t>
  </si>
  <si>
    <t>28H</t>
  </si>
  <si>
    <t>Cleaning</t>
  </si>
  <si>
    <t>28I</t>
  </si>
  <si>
    <t>Stationery</t>
  </si>
  <si>
    <t>28J</t>
  </si>
  <si>
    <t>Duplicating / Printing</t>
  </si>
  <si>
    <t>28K</t>
  </si>
  <si>
    <t>Office Equipment</t>
  </si>
  <si>
    <t>28L</t>
  </si>
  <si>
    <t>Phones / Fax</t>
  </si>
  <si>
    <t>28M</t>
  </si>
  <si>
    <t>Mobile Phones</t>
  </si>
  <si>
    <t>28N</t>
  </si>
  <si>
    <t>Press / Photography</t>
  </si>
  <si>
    <t>28O</t>
  </si>
  <si>
    <t>Postage</t>
  </si>
  <si>
    <t>28P</t>
  </si>
  <si>
    <t>Press Association Fees</t>
  </si>
  <si>
    <t>28Q</t>
  </si>
  <si>
    <t>Programme Back-Up</t>
  </si>
  <si>
    <t>28R</t>
  </si>
  <si>
    <t>Protective Clothing</t>
  </si>
  <si>
    <t>28S</t>
  </si>
  <si>
    <t>Sundries</t>
  </si>
  <si>
    <t>28T</t>
  </si>
  <si>
    <t>Newspapers &amp; Magazines - Home Delivery</t>
  </si>
  <si>
    <t>29A</t>
  </si>
  <si>
    <t>Insurance</t>
  </si>
  <si>
    <t>29B</t>
  </si>
  <si>
    <t>Legal Fees / Services</t>
  </si>
  <si>
    <t>29C</t>
  </si>
  <si>
    <t>Compliance Costs</t>
  </si>
  <si>
    <t>29D</t>
  </si>
  <si>
    <t>Neg Checking</t>
  </si>
  <si>
    <t>29E</t>
  </si>
  <si>
    <t>Budget Preparation</t>
  </si>
  <si>
    <t>29F</t>
  </si>
  <si>
    <t>Rebate Processing</t>
  </si>
  <si>
    <t>29G</t>
  </si>
  <si>
    <t>Interest Charges / Cost Of Money</t>
  </si>
  <si>
    <t>30A</t>
  </si>
  <si>
    <t>Production Office</t>
  </si>
  <si>
    <t>30B</t>
  </si>
  <si>
    <t>Computer Services / IT Support</t>
  </si>
  <si>
    <t>30C</t>
  </si>
  <si>
    <t>Financial Processing / Wages / Banking</t>
  </si>
  <si>
    <t>30D</t>
  </si>
  <si>
    <t>Production Audit</t>
  </si>
  <si>
    <t>30E</t>
  </si>
  <si>
    <t>Production Contracts</t>
  </si>
  <si>
    <t>30F</t>
  </si>
  <si>
    <t>Miscellaneous Overheads</t>
  </si>
  <si>
    <t>30G</t>
  </si>
  <si>
    <t>PACT Levy</t>
  </si>
  <si>
    <t>31A</t>
  </si>
  <si>
    <t>Theatre Hire</t>
  </si>
  <si>
    <t>31B</t>
  </si>
  <si>
    <t>Theatre Contras</t>
  </si>
  <si>
    <t>32A</t>
  </si>
  <si>
    <t>97A</t>
  </si>
  <si>
    <t>Sub-Total</t>
  </si>
  <si>
    <t>Producer/Director Salaries</t>
  </si>
  <si>
    <t>Basic Salaries</t>
  </si>
  <si>
    <t>Pension</t>
  </si>
  <si>
    <t>Holiday</t>
  </si>
  <si>
    <t>National Insurance</t>
  </si>
  <si>
    <t>Weeks</t>
  </si>
  <si>
    <t>Performers National Insurance (13.8%)</t>
  </si>
  <si>
    <t>Presenters / Interviewees / Contributors</t>
  </si>
  <si>
    <t>Assistant Directors / Continuity</t>
  </si>
  <si>
    <t>Days</t>
  </si>
  <si>
    <t>Crew - Wardrobe / Make-Up / Hair</t>
  </si>
  <si>
    <t>Materials - Wardrobe / Make-Up / Hair</t>
  </si>
  <si>
    <t>Studios / Outside Broadcast</t>
  </si>
  <si>
    <t>Personnel</t>
  </si>
  <si>
    <t>Role</t>
  </si>
  <si>
    <t>Name</t>
  </si>
  <si>
    <t>Dates</t>
  </si>
  <si>
    <t>Daily / Weekly / One Fee</t>
  </si>
  <si>
    <t>Week No. From</t>
  </si>
  <si>
    <t>No. of Weeks</t>
  </si>
  <si>
    <t>Weekly Rate</t>
  </si>
  <si>
    <t>Daily Rate</t>
  </si>
  <si>
    <t>No. of Days</t>
  </si>
  <si>
    <t>One Fee</t>
  </si>
  <si>
    <t>Assistant Producers</t>
  </si>
  <si>
    <t>Production Co-ordinator</t>
  </si>
  <si>
    <t>Full Code</t>
  </si>
  <si>
    <t>Week
No. To</t>
  </si>
  <si>
    <t>Contract</t>
  </si>
  <si>
    <t>Hol days inc bank hol</t>
  </si>
  <si>
    <t>Hols to be taken (inc bank hol)</t>
  </si>
  <si>
    <t>Personnel Breakdown</t>
  </si>
  <si>
    <t>Prog Name:</t>
  </si>
  <si>
    <t>Prog Number:</t>
  </si>
  <si>
    <t>Eps:</t>
  </si>
  <si>
    <t>Personnel per ep:</t>
  </si>
  <si>
    <t>Film / Tape Stock</t>
  </si>
  <si>
    <t>Library / Film Archive</t>
  </si>
  <si>
    <t>Travel / Transport</t>
  </si>
  <si>
    <t>Hotel / Living</t>
  </si>
  <si>
    <t xml:space="preserve"> Finance / Legal</t>
  </si>
  <si>
    <t>30F-00</t>
  </si>
  <si>
    <t>30F-01</t>
  </si>
  <si>
    <t>Business Affairs Overheads</t>
  </si>
  <si>
    <t>Hours</t>
  </si>
  <si>
    <t>Crew Breakdown</t>
  </si>
  <si>
    <t>No. Of Days</t>
  </si>
  <si>
    <t>Nat Ins @ 13.8%?</t>
  </si>
  <si>
    <t>ASSISTANT DIRECTORS/CONTINUITY</t>
  </si>
  <si>
    <t>06 -</t>
  </si>
  <si>
    <t>07-</t>
  </si>
  <si>
    <t>08 -</t>
  </si>
  <si>
    <t>09 -</t>
  </si>
  <si>
    <t>10 -</t>
  </si>
  <si>
    <t>11 -</t>
  </si>
  <si>
    <t>12 -</t>
  </si>
  <si>
    <t>13 -</t>
  </si>
  <si>
    <t>Update Personnel</t>
  </si>
  <si>
    <t>CREW - CAMERA</t>
  </si>
  <si>
    <t>CREW - SOUND</t>
  </si>
  <si>
    <t>CREW LIGHTING</t>
  </si>
  <si>
    <t>CREW ART DEPT</t>
  </si>
  <si>
    <t>CREW - WARDROBE/MAKE UP/HAIR</t>
  </si>
  <si>
    <t>CREW - ANIMATION</t>
  </si>
  <si>
    <t>CREW - EDIT</t>
  </si>
  <si>
    <t>Create Advance Payment</t>
  </si>
  <si>
    <t>Update Crew</t>
  </si>
  <si>
    <t>Back to detail page</t>
  </si>
  <si>
    <t>Back to Totals Page</t>
  </si>
  <si>
    <t>Detail Page</t>
  </si>
  <si>
    <t>Crew</t>
  </si>
  <si>
    <t>Comparison</t>
  </si>
  <si>
    <t>Schedule</t>
  </si>
  <si>
    <t>Assumptions</t>
  </si>
  <si>
    <t>Budget Detail</t>
  </si>
  <si>
    <t>Personnel Total:</t>
  </si>
  <si>
    <t>* Complete yellow cells *</t>
  </si>
  <si>
    <t>Current Budget</t>
  </si>
  <si>
    <t>Prior Year</t>
  </si>
  <si>
    <t>Variance</t>
  </si>
  <si>
    <t>Budget</t>
  </si>
  <si>
    <r>
      <t>increase</t>
    </r>
    <r>
      <rPr>
        <b/>
        <sz val="8"/>
        <rFont val="Arial Narrow"/>
        <family val="2"/>
      </rPr>
      <t>/decrease</t>
    </r>
  </si>
  <si>
    <t>TOTAL PRODUCTION COSTS</t>
  </si>
  <si>
    <t>Budget Production Schedule</t>
  </si>
  <si>
    <t>Weeks (calendar)</t>
  </si>
  <si>
    <t>Back to Totals Sheet</t>
  </si>
  <si>
    <t>Assumption Details:</t>
  </si>
  <si>
    <t>Back to Detail Page</t>
  </si>
  <si>
    <t>Basic</t>
  </si>
  <si>
    <t>Filter</t>
  </si>
  <si>
    <t>Notes for using this template</t>
  </si>
  <si>
    <t>If you get a #NAME error under the holiday calculation in the Personnel Sheet please follow these steps:</t>
  </si>
  <si>
    <t xml:space="preserve">      Tools &gt; Add-Ins &gt; Tick the box next to Analysis ToolPak</t>
  </si>
  <si>
    <t>If you need to unprotect any sheet, select Tools &gt; Protection &gt; Unprotect</t>
  </si>
  <si>
    <t>Efficiency</t>
  </si>
  <si>
    <t>Location Facilitators</t>
  </si>
  <si>
    <t>Delivery</t>
  </si>
  <si>
    <t>Date</t>
  </si>
  <si>
    <t>Shoot</t>
  </si>
  <si>
    <t>View</t>
  </si>
  <si>
    <t xml:space="preserve">Offline </t>
  </si>
  <si>
    <t>Final Post</t>
  </si>
  <si>
    <t>AP</t>
  </si>
  <si>
    <t>Logger/Runner</t>
  </si>
  <si>
    <t>PA (Paperwork)</t>
  </si>
  <si>
    <t>Total Desks</t>
  </si>
  <si>
    <t xml:space="preserve"> </t>
  </si>
  <si>
    <t>casting producer</t>
  </si>
  <si>
    <t>Porducer / Director</t>
  </si>
  <si>
    <t>PM ( part time  )</t>
  </si>
  <si>
    <t>supplied by little woods</t>
  </si>
  <si>
    <t>filming fees @ venues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</si>
</sst>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5" formatCode="&quot;£&quot;#,##0;\-&quot;£&quot;#,##0"/>
    <numFmt numFmtId="41" formatCode="_-* #,##0_-;\-* #,##0_-;_-* &quot;-&quot;_-;_-@_-"/>
    <numFmt numFmtId="43" formatCode="_-* #,##0.00_-;\-* #,##0.00_-;_-* &quot;-&quot;??_-;_-@_-"/>
    <numFmt numFmtId="164" formatCode="_-* #,##0.0_-;\-* #,##0.0_-;_-* &quot;-&quot;_-;_-@_-"/>
    <numFmt numFmtId="165" formatCode="0.0"/>
    <numFmt numFmtId="166" formatCode="0.0&quot; days&quot;"/>
    <numFmt numFmtId="167" formatCode="#,##0.0_ ;\-#,##0.0\ "/>
    <numFmt numFmtId="168" formatCode="0.000000"/>
    <numFmt numFmtId="169" formatCode="_-* #,##0_-;[Red]\-* #,##0_-;_-* &quot;-&quot;_-;_-@_-"/>
    <numFmt numFmtId="170" formatCode="&quot;£&quot;#,##0.00"/>
    <numFmt numFmtId="171" formatCode="_-* #,##0.00_-;[Red]\-* #,##0.00_-;_-* &quot;-&quot;??_-;_-@_-"/>
  </numFmts>
  <fonts count="44" x14ac:knownFonts="1">
    <font>
      <sz val="10"/>
      <name val="Arial"/>
    </font>
    <font>
      <sz val="10"/>
      <name val="Arial"/>
    </font>
    <font>
      <b/>
      <sz val="12"/>
      <name val="Tahoma"/>
      <family val="2"/>
    </font>
    <font>
      <sz val="10"/>
      <name val="Tahoma"/>
      <family val="2"/>
    </font>
    <font>
      <b/>
      <sz val="9"/>
      <name val="Tahoma"/>
      <family val="2"/>
    </font>
    <font>
      <b/>
      <sz val="10"/>
      <name val="Tahoma"/>
      <family val="2"/>
    </font>
    <font>
      <b/>
      <sz val="11"/>
      <name val="Tahoma"/>
      <family val="2"/>
    </font>
    <font>
      <sz val="8"/>
      <name val="Arial"/>
      <family val="2"/>
    </font>
    <font>
      <sz val="10"/>
      <color indexed="22"/>
      <name val="Tahoma"/>
      <family val="2"/>
    </font>
    <font>
      <sz val="10"/>
      <color indexed="9"/>
      <name val="Tahoma"/>
      <family val="2"/>
    </font>
    <font>
      <b/>
      <sz val="10"/>
      <name val="Arial"/>
      <family val="2"/>
    </font>
    <font>
      <sz val="10"/>
      <color indexed="10"/>
      <name val="Tahoma"/>
      <family val="2"/>
    </font>
    <font>
      <b/>
      <sz val="10"/>
      <color indexed="10"/>
      <name val="Tahoma"/>
      <family val="2"/>
    </font>
    <font>
      <b/>
      <sz val="11"/>
      <color indexed="10"/>
      <name val="Tahoma"/>
      <family val="2"/>
    </font>
    <font>
      <b/>
      <u/>
      <sz val="12"/>
      <name val="Tahoma"/>
      <family val="2"/>
    </font>
    <font>
      <i/>
      <sz val="10"/>
      <name val="Tahoma"/>
      <family val="2"/>
    </font>
    <font>
      <b/>
      <sz val="14"/>
      <name val="Tahoma"/>
      <family val="2"/>
    </font>
    <font>
      <u/>
      <sz val="10"/>
      <color indexed="12"/>
      <name val="Arial"/>
      <family val="2"/>
    </font>
    <font>
      <b/>
      <u/>
      <sz val="10"/>
      <name val="Tahoma"/>
      <family val="2"/>
    </font>
    <font>
      <sz val="10"/>
      <name val="Times New Roman"/>
      <family val="1"/>
    </font>
    <font>
      <sz val="8"/>
      <name val="Times New Roman"/>
      <family val="1"/>
    </font>
    <font>
      <sz val="8"/>
      <name val="Arial Narrow"/>
      <family val="2"/>
    </font>
    <font>
      <sz val="10"/>
      <name val="Arial Narrow"/>
      <family val="2"/>
    </font>
    <font>
      <b/>
      <sz val="14"/>
      <name val="Arial Narrow"/>
      <family val="2"/>
    </font>
    <font>
      <sz val="14"/>
      <name val="Arial Narrow"/>
      <family val="2"/>
    </font>
    <font>
      <b/>
      <sz val="12"/>
      <name val="Arial Narrow"/>
      <family val="2"/>
    </font>
    <font>
      <b/>
      <sz val="12"/>
      <name val="Arial Narrow"/>
      <family val="2"/>
    </font>
    <font>
      <sz val="12"/>
      <name val="Arial Narrow"/>
      <family val="2"/>
    </font>
    <font>
      <b/>
      <sz val="8"/>
      <color indexed="10"/>
      <name val="Arial Narrow"/>
      <family val="2"/>
    </font>
    <font>
      <b/>
      <sz val="11"/>
      <name val="Arial Narrow"/>
      <family val="2"/>
    </font>
    <font>
      <b/>
      <sz val="10"/>
      <name val="Arial Narrow"/>
      <family val="2"/>
    </font>
    <font>
      <b/>
      <sz val="8"/>
      <name val="Arial Narrow"/>
      <family val="2"/>
    </font>
    <font>
      <sz val="12"/>
      <name val="Tahoma"/>
      <family val="2"/>
    </font>
    <font>
      <sz val="11"/>
      <name val="Arial Narrow"/>
      <family val="2"/>
    </font>
    <font>
      <i/>
      <strike/>
      <sz val="5"/>
      <name val="Arial Narrow"/>
      <family val="2"/>
    </font>
    <font>
      <u/>
      <sz val="10"/>
      <color indexed="12"/>
      <name val="Tahoma"/>
      <family val="2"/>
    </font>
    <font>
      <b/>
      <u/>
      <sz val="14"/>
      <name val="Tahoma"/>
      <family val="2"/>
    </font>
    <font>
      <i/>
      <u/>
      <sz val="9"/>
      <color indexed="12"/>
      <name val="Tahoma"/>
      <family val="2"/>
    </font>
    <font>
      <i/>
      <u/>
      <sz val="10"/>
      <color indexed="12"/>
      <name val="Tahoma"/>
      <family val="2"/>
    </font>
    <font>
      <sz val="10"/>
      <color rgb="FF000000"/>
      <name val="Tahoma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800080"/>
      <name val="Arial"/>
      <family val="2"/>
    </font>
    <font>
      <b/>
      <sz val="10"/>
      <color rgb="FF993366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2"/>
        <bgColor indexed="64"/>
      </patternFill>
    </fill>
    <fill>
      <patternFill patternType="lightGray">
        <fgColor indexed="22"/>
        <bgColor indexed="9"/>
      </patternFill>
    </fill>
    <fill>
      <patternFill patternType="solid">
        <fgColor indexed="26"/>
        <bgColor indexed="64"/>
      </patternFill>
    </fill>
    <fill>
      <patternFill patternType="lightGray">
        <fgColor indexed="22"/>
      </patternFill>
    </fill>
    <fill>
      <patternFill patternType="gray125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" fillId="0" borderId="0" applyFill="0"/>
  </cellStyleXfs>
  <cellXfs count="390">
    <xf numFmtId="0" fontId="0" fillId="0" borderId="0" xfId="0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2" borderId="0" xfId="0" applyFont="1" applyFill="1" applyBorder="1"/>
    <xf numFmtId="0" fontId="3" fillId="0" borderId="8" xfId="0" applyFont="1" applyBorder="1"/>
    <xf numFmtId="0" fontId="3" fillId="0" borderId="9" xfId="0" applyFont="1" applyBorder="1"/>
    <xf numFmtId="0" fontId="8" fillId="2" borderId="10" xfId="0" applyFont="1" applyFill="1" applyBorder="1"/>
    <xf numFmtId="0" fontId="3" fillId="2" borderId="11" xfId="0" applyFont="1" applyFill="1" applyBorder="1"/>
    <xf numFmtId="0" fontId="3" fillId="2" borderId="12" xfId="0" applyFont="1" applyFill="1" applyBorder="1"/>
    <xf numFmtId="0" fontId="3" fillId="2" borderId="13" xfId="0" applyFont="1" applyFill="1" applyBorder="1"/>
    <xf numFmtId="0" fontId="3" fillId="2" borderId="14" xfId="0" applyFont="1" applyFill="1" applyBorder="1"/>
    <xf numFmtId="0" fontId="3" fillId="2" borderId="15" xfId="0" applyFont="1" applyFill="1" applyBorder="1"/>
    <xf numFmtId="0" fontId="3" fillId="2" borderId="16" xfId="0" applyFont="1" applyFill="1" applyBorder="1"/>
    <xf numFmtId="0" fontId="5" fillId="0" borderId="7" xfId="0" applyFont="1" applyBorder="1"/>
    <xf numFmtId="0" fontId="3" fillId="0" borderId="17" xfId="0" applyFont="1" applyBorder="1"/>
    <xf numFmtId="0" fontId="5" fillId="0" borderId="18" xfId="0" quotePrefix="1" applyFont="1" applyBorder="1"/>
    <xf numFmtId="43" fontId="5" fillId="0" borderId="19" xfId="0" applyNumberFormat="1" applyFont="1" applyBorder="1" applyAlignment="1">
      <alignment horizontal="center"/>
    </xf>
    <xf numFmtId="43" fontId="3" fillId="0" borderId="20" xfId="0" applyNumberFormat="1" applyFont="1" applyBorder="1"/>
    <xf numFmtId="43" fontId="5" fillId="0" borderId="21" xfId="0" applyNumberFormat="1" applyFont="1" applyBorder="1" applyAlignment="1">
      <alignment horizontal="center"/>
    </xf>
    <xf numFmtId="43" fontId="9" fillId="0" borderId="22" xfId="0" applyNumberFormat="1" applyFont="1" applyBorder="1"/>
    <xf numFmtId="43" fontId="9" fillId="0" borderId="2" xfId="0" applyNumberFormat="1" applyFont="1" applyBorder="1"/>
    <xf numFmtId="0" fontId="9" fillId="0" borderId="21" xfId="0" applyFont="1" applyBorder="1"/>
    <xf numFmtId="0" fontId="3" fillId="0" borderId="6" xfId="0" applyFont="1" applyFill="1" applyBorder="1" applyAlignment="1"/>
    <xf numFmtId="0" fontId="3" fillId="0" borderId="7" xfId="0" applyFont="1" applyFill="1" applyBorder="1" applyAlignment="1"/>
    <xf numFmtId="0" fontId="3" fillId="0" borderId="6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43" fontId="9" fillId="0" borderId="20" xfId="0" applyNumberFormat="1" applyFont="1" applyBorder="1"/>
    <xf numFmtId="0" fontId="5" fillId="0" borderId="23" xfId="0" applyFont="1" applyBorder="1" applyAlignment="1" applyProtection="1">
      <alignment horizontal="center" vertical="center"/>
    </xf>
    <xf numFmtId="0" fontId="5" fillId="0" borderId="24" xfId="0" applyFont="1" applyFill="1" applyBorder="1" applyAlignment="1" applyProtection="1">
      <alignment horizontal="center" vertical="center"/>
    </xf>
    <xf numFmtId="0" fontId="5" fillId="0" borderId="25" xfId="0" applyFont="1" applyFill="1" applyBorder="1" applyAlignment="1" applyProtection="1">
      <alignment horizontal="center" vertical="center"/>
    </xf>
    <xf numFmtId="0" fontId="5" fillId="0" borderId="26" xfId="0" applyFont="1" applyFill="1" applyBorder="1" applyAlignment="1" applyProtection="1">
      <alignment horizontal="center" vertical="center"/>
    </xf>
    <xf numFmtId="0" fontId="5" fillId="0" borderId="26" xfId="0" quotePrefix="1" applyFont="1" applyFill="1" applyBorder="1" applyAlignment="1" applyProtection="1">
      <alignment horizontal="center" vertical="center"/>
    </xf>
    <xf numFmtId="5" fontId="5" fillId="0" borderId="26" xfId="0" applyNumberFormat="1" applyFont="1" applyFill="1" applyBorder="1" applyAlignment="1" applyProtection="1">
      <alignment horizontal="center" vertical="center"/>
    </xf>
    <xf numFmtId="0" fontId="5" fillId="0" borderId="27" xfId="0" applyFont="1" applyFill="1" applyBorder="1" applyAlignment="1" applyProtection="1">
      <alignment horizontal="center" vertical="center"/>
    </xf>
    <xf numFmtId="43" fontId="3" fillId="0" borderId="6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43" fontId="15" fillId="0" borderId="0" xfId="0" applyNumberFormat="1" applyFont="1"/>
    <xf numFmtId="0" fontId="3" fillId="0" borderId="0" xfId="0" applyFont="1" applyProtection="1"/>
    <xf numFmtId="0" fontId="5" fillId="0" borderId="0" xfId="0" applyFont="1" applyProtection="1"/>
    <xf numFmtId="0" fontId="3" fillId="0" borderId="28" xfId="0" applyFont="1" applyBorder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3" fillId="0" borderId="16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/>
    </xf>
    <xf numFmtId="43" fontId="3" fillId="0" borderId="28" xfId="0" applyNumberFormat="1" applyFont="1" applyBorder="1" applyAlignment="1" applyProtection="1">
      <alignment horizontal="center"/>
    </xf>
    <xf numFmtId="0" fontId="13" fillId="0" borderId="0" xfId="0" applyFont="1" applyProtection="1"/>
    <xf numFmtId="0" fontId="5" fillId="0" borderId="29" xfId="0" applyFont="1" applyBorder="1" applyAlignment="1" applyProtection="1">
      <alignment horizontal="center" wrapText="1"/>
    </xf>
    <xf numFmtId="0" fontId="5" fillId="0" borderId="25" xfId="0" applyFont="1" applyBorder="1" applyAlignment="1" applyProtection="1">
      <alignment horizontal="center" wrapText="1"/>
    </xf>
    <xf numFmtId="0" fontId="5" fillId="0" borderId="27" xfId="0" applyFont="1" applyBorder="1" applyAlignment="1" applyProtection="1">
      <alignment horizontal="center" wrapText="1"/>
    </xf>
    <xf numFmtId="0" fontId="5" fillId="0" borderId="30" xfId="0" applyFont="1" applyBorder="1" applyAlignment="1" applyProtection="1">
      <alignment horizontal="center" wrapText="1"/>
    </xf>
    <xf numFmtId="0" fontId="5" fillId="3" borderId="29" xfId="0" applyFont="1" applyFill="1" applyBorder="1" applyAlignment="1" applyProtection="1">
      <alignment horizontal="center" wrapText="1"/>
    </xf>
    <xf numFmtId="0" fontId="5" fillId="3" borderId="25" xfId="0" applyFont="1" applyFill="1" applyBorder="1" applyAlignment="1" applyProtection="1">
      <alignment horizontal="center" wrapText="1"/>
    </xf>
    <xf numFmtId="0" fontId="5" fillId="3" borderId="30" xfId="0" applyFont="1" applyFill="1" applyBorder="1" applyAlignment="1" applyProtection="1">
      <alignment horizontal="center" wrapText="1"/>
    </xf>
    <xf numFmtId="0" fontId="5" fillId="4" borderId="29" xfId="0" applyFont="1" applyFill="1" applyBorder="1" applyAlignment="1" applyProtection="1">
      <alignment horizontal="center" wrapText="1"/>
    </xf>
    <xf numFmtId="0" fontId="5" fillId="4" borderId="30" xfId="0" applyFont="1" applyFill="1" applyBorder="1" applyAlignment="1" applyProtection="1">
      <alignment horizontal="center" wrapText="1"/>
    </xf>
    <xf numFmtId="0" fontId="5" fillId="5" borderId="31" xfId="0" applyFont="1" applyFill="1" applyBorder="1" applyAlignment="1" applyProtection="1">
      <alignment horizontal="center" wrapText="1"/>
    </xf>
    <xf numFmtId="0" fontId="5" fillId="0" borderId="0" xfId="0" applyFont="1" applyAlignment="1" applyProtection="1">
      <alignment horizontal="center" wrapText="1"/>
    </xf>
    <xf numFmtId="0" fontId="5" fillId="0" borderId="31" xfId="0" applyFont="1" applyBorder="1" applyAlignment="1" applyProtection="1">
      <alignment horizontal="center" wrapText="1"/>
    </xf>
    <xf numFmtId="0" fontId="5" fillId="2" borderId="32" xfId="0" applyFont="1" applyFill="1" applyBorder="1" applyAlignment="1" applyProtection="1">
      <alignment horizontal="center"/>
    </xf>
    <xf numFmtId="0" fontId="5" fillId="2" borderId="33" xfId="0" applyFont="1" applyFill="1" applyBorder="1" applyAlignment="1" applyProtection="1">
      <alignment horizontal="center"/>
    </xf>
    <xf numFmtId="0" fontId="5" fillId="2" borderId="34" xfId="0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43" fontId="3" fillId="0" borderId="0" xfId="0" applyNumberFormat="1" applyFont="1" applyProtection="1"/>
    <xf numFmtId="0" fontId="3" fillId="6" borderId="8" xfId="0" applyFont="1" applyFill="1" applyBorder="1" applyAlignment="1" applyProtection="1">
      <alignment horizontal="center"/>
    </xf>
    <xf numFmtId="164" fontId="3" fillId="6" borderId="20" xfId="0" applyNumberFormat="1" applyFont="1" applyFill="1" applyBorder="1" applyAlignment="1" applyProtection="1"/>
    <xf numFmtId="43" fontId="3" fillId="0" borderId="35" xfId="0" applyNumberFormat="1" applyFont="1" applyBorder="1" applyProtection="1"/>
    <xf numFmtId="0" fontId="3" fillId="6" borderId="36" xfId="0" applyFont="1" applyFill="1" applyBorder="1" applyAlignment="1" applyProtection="1">
      <alignment horizontal="center"/>
    </xf>
    <xf numFmtId="164" fontId="3" fillId="6" borderId="37" xfId="0" applyNumberFormat="1" applyFont="1" applyFill="1" applyBorder="1" applyAlignment="1" applyProtection="1"/>
    <xf numFmtId="43" fontId="3" fillId="0" borderId="38" xfId="0" applyNumberFormat="1" applyFont="1" applyBorder="1" applyProtection="1"/>
    <xf numFmtId="0" fontId="5" fillId="0" borderId="0" xfId="0" applyFont="1" applyBorder="1" applyProtection="1"/>
    <xf numFmtId="0" fontId="0" fillId="0" borderId="0" xfId="0" applyProtection="1"/>
    <xf numFmtId="9" fontId="3" fillId="7" borderId="2" xfId="0" applyNumberFormat="1" applyFont="1" applyFill="1" applyBorder="1" applyAlignment="1" applyProtection="1">
      <alignment horizontal="center"/>
      <protection locked="0"/>
    </xf>
    <xf numFmtId="0" fontId="3" fillId="7" borderId="6" xfId="0" applyFont="1" applyFill="1" applyBorder="1" applyProtection="1">
      <protection locked="0"/>
    </xf>
    <xf numFmtId="0" fontId="3" fillId="7" borderId="8" xfId="0" applyFont="1" applyFill="1" applyBorder="1" applyAlignment="1" applyProtection="1">
      <alignment horizontal="center"/>
      <protection locked="0"/>
    </xf>
    <xf numFmtId="0" fontId="3" fillId="7" borderId="2" xfId="0" applyFont="1" applyFill="1" applyBorder="1" applyAlignment="1" applyProtection="1">
      <alignment horizontal="center"/>
      <protection locked="0"/>
    </xf>
    <xf numFmtId="0" fontId="3" fillId="7" borderId="20" xfId="0" applyFont="1" applyFill="1" applyBorder="1" applyAlignment="1" applyProtection="1">
      <alignment horizontal="center"/>
      <protection locked="0"/>
    </xf>
    <xf numFmtId="0" fontId="3" fillId="7" borderId="39" xfId="0" applyFont="1" applyFill="1" applyBorder="1" applyProtection="1">
      <protection locked="0"/>
    </xf>
    <xf numFmtId="0" fontId="3" fillId="7" borderId="36" xfId="0" applyFont="1" applyFill="1" applyBorder="1" applyAlignment="1" applyProtection="1">
      <alignment horizontal="center"/>
      <protection locked="0"/>
    </xf>
    <xf numFmtId="0" fontId="3" fillId="7" borderId="40" xfId="0" applyFont="1" applyFill="1" applyBorder="1" applyAlignment="1" applyProtection="1">
      <alignment horizontal="center"/>
      <protection locked="0"/>
    </xf>
    <xf numFmtId="0" fontId="3" fillId="7" borderId="37" xfId="0" applyFont="1" applyFill="1" applyBorder="1" applyAlignment="1" applyProtection="1">
      <alignment horizontal="center"/>
      <protection locked="0"/>
    </xf>
    <xf numFmtId="164" fontId="3" fillId="7" borderId="20" xfId="0" applyNumberFormat="1" applyFont="1" applyFill="1" applyBorder="1" applyAlignment="1" applyProtection="1">
      <alignment horizontal="center"/>
      <protection locked="0"/>
    </xf>
    <xf numFmtId="164" fontId="3" fillId="7" borderId="37" xfId="0" applyNumberFormat="1" applyFont="1" applyFill="1" applyBorder="1" applyAlignment="1" applyProtection="1">
      <alignment horizontal="center"/>
      <protection locked="0"/>
    </xf>
    <xf numFmtId="164" fontId="3" fillId="8" borderId="8" xfId="0" applyNumberFormat="1" applyFont="1" applyFill="1" applyBorder="1" applyAlignment="1" applyProtection="1">
      <alignment horizontal="center"/>
      <protection locked="0"/>
    </xf>
    <xf numFmtId="164" fontId="3" fillId="8" borderId="36" xfId="0" applyNumberFormat="1" applyFont="1" applyFill="1" applyBorder="1" applyAlignment="1" applyProtection="1">
      <alignment horizontal="center"/>
      <protection locked="0"/>
    </xf>
    <xf numFmtId="0" fontId="3" fillId="0" borderId="12" xfId="0" applyFont="1" applyBorder="1"/>
    <xf numFmtId="0" fontId="3" fillId="0" borderId="0" xfId="0" applyFont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2" borderId="28" xfId="0" applyFont="1" applyFill="1" applyBorder="1"/>
    <xf numFmtId="0" fontId="3" fillId="2" borderId="41" xfId="0" applyFont="1" applyFill="1" applyBorder="1"/>
    <xf numFmtId="0" fontId="5" fillId="0" borderId="42" xfId="0" applyFont="1" applyBorder="1" applyAlignment="1" applyProtection="1">
      <alignment horizontal="center" wrapText="1"/>
    </xf>
    <xf numFmtId="0" fontId="3" fillId="0" borderId="42" xfId="0" applyFont="1" applyFill="1" applyBorder="1" applyProtection="1"/>
    <xf numFmtId="43" fontId="3" fillId="0" borderId="35" xfId="0" applyNumberFormat="1" applyFont="1" applyFill="1" applyBorder="1" applyProtection="1"/>
    <xf numFmtId="0" fontId="3" fillId="8" borderId="1" xfId="0" applyFont="1" applyFill="1" applyBorder="1" applyAlignment="1" applyProtection="1">
      <alignment horizontal="center"/>
    </xf>
    <xf numFmtId="43" fontId="3" fillId="0" borderId="38" xfId="0" applyNumberFormat="1" applyFont="1" applyFill="1" applyBorder="1" applyProtection="1"/>
    <xf numFmtId="165" fontId="3" fillId="7" borderId="6" xfId="0" applyNumberFormat="1" applyFont="1" applyFill="1" applyBorder="1" applyAlignment="1" applyProtection="1">
      <alignment horizontal="center"/>
      <protection locked="0"/>
    </xf>
    <xf numFmtId="43" fontId="3" fillId="7" borderId="6" xfId="0" applyNumberFormat="1" applyFont="1" applyFill="1" applyBorder="1" applyAlignment="1" applyProtection="1">
      <alignment horizontal="center"/>
      <protection locked="0"/>
    </xf>
    <xf numFmtId="10" fontId="3" fillId="0" borderId="19" xfId="0" applyNumberFormat="1" applyFont="1" applyFill="1" applyBorder="1" applyAlignment="1" applyProtection="1">
      <alignment horizontal="center"/>
      <protection locked="0"/>
    </xf>
    <xf numFmtId="0" fontId="3" fillId="0" borderId="43" xfId="0" applyFont="1" applyBorder="1" applyProtection="1"/>
    <xf numFmtId="0" fontId="3" fillId="0" borderId="44" xfId="0" applyFont="1" applyBorder="1" applyProtection="1"/>
    <xf numFmtId="0" fontId="3" fillId="0" borderId="45" xfId="0" applyFont="1" applyBorder="1" applyProtection="1"/>
    <xf numFmtId="0" fontId="3" fillId="0" borderId="1" xfId="0" applyFont="1" applyBorder="1" applyProtection="1"/>
    <xf numFmtId="0" fontId="3" fillId="0" borderId="2" xfId="0" applyFont="1" applyBorder="1" applyProtection="1"/>
    <xf numFmtId="0" fontId="3" fillId="0" borderId="0" xfId="0" applyFont="1" applyBorder="1" applyProtection="1"/>
    <xf numFmtId="0" fontId="3" fillId="0" borderId="0" xfId="0" applyFont="1" applyBorder="1" applyAlignment="1" applyProtection="1">
      <alignment horizontal="center"/>
    </xf>
    <xf numFmtId="15" fontId="5" fillId="0" borderId="31" xfId="0" applyNumberFormat="1" applyFont="1" applyBorder="1" applyAlignment="1" applyProtection="1">
      <alignment horizontal="center"/>
    </xf>
    <xf numFmtId="0" fontId="3" fillId="0" borderId="3" xfId="0" applyFont="1" applyBorder="1" applyProtection="1"/>
    <xf numFmtId="0" fontId="3" fillId="0" borderId="4" xfId="0" applyFont="1" applyBorder="1" applyProtection="1"/>
    <xf numFmtId="0" fontId="3" fillId="0" borderId="4" xfId="0" applyFont="1" applyBorder="1" applyAlignment="1" applyProtection="1">
      <alignment horizontal="right"/>
    </xf>
    <xf numFmtId="168" fontId="3" fillId="0" borderId="4" xfId="0" applyNumberFormat="1" applyFont="1" applyBorder="1" applyAlignment="1" applyProtection="1">
      <alignment horizontal="center"/>
    </xf>
    <xf numFmtId="0" fontId="3" fillId="0" borderId="40" xfId="0" applyFont="1" applyBorder="1" applyProtection="1"/>
    <xf numFmtId="0" fontId="5" fillId="0" borderId="0" xfId="0" applyFont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</xf>
    <xf numFmtId="0" fontId="3" fillId="0" borderId="1" xfId="0" applyFont="1" applyBorder="1" applyAlignment="1" applyProtection="1">
      <alignment horizontal="right"/>
    </xf>
    <xf numFmtId="41" fontId="3" fillId="0" borderId="0" xfId="0" applyNumberFormat="1" applyFont="1" applyBorder="1" applyAlignment="1" applyProtection="1">
      <alignment horizontal="center"/>
    </xf>
    <xf numFmtId="0" fontId="3" fillId="0" borderId="0" xfId="0" applyFont="1" applyFill="1" applyBorder="1" applyProtection="1"/>
    <xf numFmtId="0" fontId="3" fillId="7" borderId="19" xfId="0" applyFont="1" applyFill="1" applyBorder="1" applyAlignment="1" applyProtection="1">
      <alignment horizontal="center"/>
      <protection locked="0"/>
    </xf>
    <xf numFmtId="0" fontId="3" fillId="7" borderId="19" xfId="0" applyFont="1" applyFill="1" applyBorder="1" applyAlignment="1" applyProtection="1">
      <alignment horizontal="right"/>
      <protection locked="0"/>
    </xf>
    <xf numFmtId="0" fontId="3" fillId="7" borderId="46" xfId="0" applyFont="1" applyFill="1" applyBorder="1" applyAlignment="1" applyProtection="1">
      <alignment horizontal="center"/>
      <protection locked="0"/>
    </xf>
    <xf numFmtId="0" fontId="3" fillId="0" borderId="0" xfId="0" applyFont="1" applyBorder="1" applyProtection="1">
      <protection locked="0"/>
    </xf>
    <xf numFmtId="0" fontId="3" fillId="0" borderId="4" xfId="0" applyFont="1" applyBorder="1" applyProtection="1">
      <protection locked="0"/>
    </xf>
    <xf numFmtId="0" fontId="3" fillId="7" borderId="19" xfId="0" applyFont="1" applyFill="1" applyBorder="1" applyProtection="1">
      <protection locked="0"/>
    </xf>
    <xf numFmtId="0" fontId="3" fillId="7" borderId="6" xfId="0" applyFont="1" applyFill="1" applyBorder="1" applyAlignment="1" applyProtection="1">
      <alignment horizontal="center"/>
      <protection locked="0"/>
    </xf>
    <xf numFmtId="43" fontId="3" fillId="7" borderId="6" xfId="0" applyNumberFormat="1" applyFont="1" applyFill="1" applyBorder="1" applyProtection="1">
      <protection locked="0"/>
    </xf>
    <xf numFmtId="0" fontId="3" fillId="7" borderId="7" xfId="0" applyFont="1" applyFill="1" applyBorder="1" applyProtection="1">
      <protection locked="0"/>
    </xf>
    <xf numFmtId="43" fontId="3" fillId="7" borderId="7" xfId="0" applyNumberFormat="1" applyFont="1" applyFill="1" applyBorder="1" applyAlignment="1" applyProtection="1">
      <alignment horizontal="center"/>
      <protection locked="0"/>
    </xf>
    <xf numFmtId="0" fontId="3" fillId="7" borderId="7" xfId="0" applyFont="1" applyFill="1" applyBorder="1" applyAlignment="1" applyProtection="1">
      <alignment horizontal="center"/>
      <protection locked="0"/>
    </xf>
    <xf numFmtId="0" fontId="3" fillId="0" borderId="0" xfId="0" quotePrefix="1" applyFont="1"/>
    <xf numFmtId="0" fontId="3" fillId="0" borderId="1" xfId="0" applyFont="1" applyBorder="1" applyProtection="1">
      <protection locked="0"/>
    </xf>
    <xf numFmtId="0" fontId="3" fillId="0" borderId="6" xfId="0" applyFont="1" applyBorder="1" applyProtection="1">
      <protection locked="0"/>
    </xf>
    <xf numFmtId="0" fontId="3" fillId="0" borderId="18" xfId="0" applyFont="1" applyBorder="1" applyProtection="1">
      <protection locked="0"/>
    </xf>
    <xf numFmtId="0" fontId="3" fillId="0" borderId="7" xfId="0" applyFont="1" applyBorder="1" applyProtection="1">
      <protection locked="0"/>
    </xf>
    <xf numFmtId="0" fontId="3" fillId="0" borderId="8" xfId="0" applyFont="1" applyBorder="1" applyProtection="1">
      <protection locked="0"/>
    </xf>
    <xf numFmtId="0" fontId="3" fillId="0" borderId="9" xfId="0" quotePrefix="1" applyFont="1" applyBorder="1" applyProtection="1">
      <protection locked="0"/>
    </xf>
    <xf numFmtId="0" fontId="3" fillId="0" borderId="6" xfId="0" applyFont="1" applyFill="1" applyBorder="1" applyProtection="1">
      <protection locked="0"/>
    </xf>
    <xf numFmtId="0" fontId="3" fillId="0" borderId="7" xfId="0" applyFont="1" applyFill="1" applyBorder="1" applyProtection="1">
      <protection locked="0"/>
    </xf>
    <xf numFmtId="0" fontId="3" fillId="0" borderId="8" xfId="0" applyFont="1" applyFill="1" applyBorder="1" applyProtection="1"/>
    <xf numFmtId="0" fontId="3" fillId="9" borderId="6" xfId="0" applyFont="1" applyFill="1" applyBorder="1" applyProtection="1"/>
    <xf numFmtId="43" fontId="3" fillId="9" borderId="6" xfId="0" applyNumberFormat="1" applyFont="1" applyFill="1" applyBorder="1" applyAlignment="1" applyProtection="1">
      <alignment horizontal="center"/>
    </xf>
    <xf numFmtId="0" fontId="3" fillId="9" borderId="6" xfId="0" applyFont="1" applyFill="1" applyBorder="1" applyAlignment="1" applyProtection="1">
      <alignment horizontal="center"/>
    </xf>
    <xf numFmtId="43" fontId="3" fillId="0" borderId="40" xfId="0" applyNumberFormat="1" applyFont="1" applyBorder="1"/>
    <xf numFmtId="43" fontId="3" fillId="0" borderId="4" xfId="0" applyNumberFormat="1" applyFont="1" applyBorder="1" applyProtection="1"/>
    <xf numFmtId="0" fontId="15" fillId="0" borderId="4" xfId="0" applyFont="1" applyBorder="1" applyAlignment="1" applyProtection="1">
      <alignment horizontal="left"/>
    </xf>
    <xf numFmtId="41" fontId="3" fillId="0" borderId="47" xfId="0" applyNumberFormat="1" applyFont="1" applyBorder="1" applyAlignment="1">
      <alignment horizontal="center"/>
    </xf>
    <xf numFmtId="41" fontId="3" fillId="0" borderId="41" xfId="0" applyNumberFormat="1" applyFont="1" applyBorder="1" applyAlignment="1">
      <alignment horizontal="center"/>
    </xf>
    <xf numFmtId="43" fontId="3" fillId="0" borderId="6" xfId="0" applyNumberFormat="1" applyFont="1" applyBorder="1" applyAlignment="1">
      <alignment horizontal="center"/>
    </xf>
    <xf numFmtId="43" fontId="3" fillId="0" borderId="4" xfId="0" applyNumberFormat="1" applyFont="1" applyBorder="1" applyAlignment="1">
      <alignment horizontal="center"/>
    </xf>
    <xf numFmtId="0" fontId="18" fillId="0" borderId="0" xfId="0" applyFont="1" applyBorder="1" applyProtection="1"/>
    <xf numFmtId="41" fontId="3" fillId="0" borderId="48" xfId="0" applyNumberFormat="1" applyFont="1" applyBorder="1" applyProtection="1"/>
    <xf numFmtId="41" fontId="3" fillId="0" borderId="14" xfId="0" applyNumberFormat="1" applyFont="1" applyBorder="1" applyProtection="1"/>
    <xf numFmtId="41" fontId="3" fillId="0" borderId="49" xfId="0" applyNumberFormat="1" applyFont="1" applyBorder="1" applyProtection="1"/>
    <xf numFmtId="41" fontId="3" fillId="0" borderId="15" xfId="0" applyNumberFormat="1" applyFont="1" applyBorder="1" applyProtection="1"/>
    <xf numFmtId="41" fontId="5" fillId="0" borderId="49" xfId="0" applyNumberFormat="1" applyFont="1" applyBorder="1" applyProtection="1"/>
    <xf numFmtId="41" fontId="5" fillId="0" borderId="15" xfId="0" applyNumberFormat="1" applyFont="1" applyBorder="1" applyProtection="1"/>
    <xf numFmtId="41" fontId="6" fillId="0" borderId="50" xfId="0" applyNumberFormat="1" applyFont="1" applyBorder="1" applyProtection="1"/>
    <xf numFmtId="41" fontId="6" fillId="0" borderId="41" xfId="0" applyNumberFormat="1" applyFont="1" applyBorder="1" applyProtection="1"/>
    <xf numFmtId="0" fontId="3" fillId="0" borderId="0" xfId="0" applyFont="1" applyProtection="1">
      <protection locked="0"/>
    </xf>
    <xf numFmtId="49" fontId="3" fillId="7" borderId="7" xfId="0" applyNumberFormat="1" applyFont="1" applyFill="1" applyBorder="1" applyAlignment="1" applyProtection="1">
      <alignment horizontal="center"/>
      <protection locked="0"/>
    </xf>
    <xf numFmtId="0" fontId="17" fillId="0" borderId="0" xfId="1" applyAlignment="1" applyProtection="1"/>
    <xf numFmtId="0" fontId="3" fillId="2" borderId="50" xfId="0" applyFont="1" applyFill="1" applyBorder="1"/>
    <xf numFmtId="0" fontId="3" fillId="2" borderId="48" xfId="0" applyFont="1" applyFill="1" applyBorder="1"/>
    <xf numFmtId="0" fontId="17" fillId="2" borderId="50" xfId="1" applyFont="1" applyFill="1" applyBorder="1" applyAlignment="1" applyProtection="1">
      <alignment horizontal="center"/>
    </xf>
    <xf numFmtId="0" fontId="17" fillId="2" borderId="50" xfId="1" applyFill="1" applyBorder="1" applyAlignment="1" applyProtection="1">
      <alignment horizontal="center"/>
    </xf>
    <xf numFmtId="43" fontId="3" fillId="0" borderId="0" xfId="0" applyNumberFormat="1" applyFont="1" applyBorder="1" applyAlignment="1">
      <alignment horizontal="center"/>
    </xf>
    <xf numFmtId="43" fontId="3" fillId="0" borderId="2" xfId="0" applyNumberFormat="1" applyFont="1" applyBorder="1"/>
    <xf numFmtId="0" fontId="3" fillId="0" borderId="4" xfId="0" applyFont="1" applyBorder="1" applyAlignment="1"/>
    <xf numFmtId="0" fontId="15" fillId="0" borderId="0" xfId="0" applyFont="1" applyBorder="1" applyAlignment="1">
      <alignment horizontal="right"/>
    </xf>
    <xf numFmtId="0" fontId="18" fillId="0" borderId="0" xfId="0" applyFont="1" applyAlignment="1">
      <alignment horizontal="center"/>
    </xf>
    <xf numFmtId="0" fontId="3" fillId="0" borderId="51" xfId="0" applyFont="1" applyBorder="1"/>
    <xf numFmtId="0" fontId="3" fillId="0" borderId="19" xfId="0" applyFont="1" applyBorder="1" applyAlignment="1">
      <alignment horizontal="center"/>
    </xf>
    <xf numFmtId="0" fontId="3" fillId="0" borderId="8" xfId="0" quotePrefix="1" applyFont="1" applyBorder="1"/>
    <xf numFmtId="167" fontId="3" fillId="0" borderId="6" xfId="0" applyNumberFormat="1" applyFont="1" applyFill="1" applyBorder="1" applyAlignment="1"/>
    <xf numFmtId="0" fontId="3" fillId="0" borderId="28" xfId="0" applyFont="1" applyBorder="1" applyAlignment="1" applyProtection="1">
      <alignment horizontal="left" wrapText="1"/>
    </xf>
    <xf numFmtId="0" fontId="12" fillId="0" borderId="0" xfId="0" applyFont="1" applyAlignment="1" applyProtection="1">
      <alignment horizontal="right"/>
    </xf>
    <xf numFmtId="0" fontId="3" fillId="6" borderId="6" xfId="0" applyFont="1" applyFill="1" applyBorder="1" applyAlignment="1" applyProtection="1">
      <alignment horizontal="center"/>
      <protection locked="0"/>
    </xf>
    <xf numFmtId="0" fontId="3" fillId="6" borderId="39" xfId="0" applyFont="1" applyFill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/>
    </xf>
    <xf numFmtId="0" fontId="3" fillId="8" borderId="8" xfId="0" applyFont="1" applyFill="1" applyBorder="1" applyAlignment="1" applyProtection="1">
      <alignment horizontal="center"/>
    </xf>
    <xf numFmtId="0" fontId="5" fillId="0" borderId="52" xfId="0" applyFont="1" applyBorder="1" applyAlignment="1" applyProtection="1">
      <alignment horizontal="center" wrapText="1"/>
    </xf>
    <xf numFmtId="0" fontId="5" fillId="0" borderId="53" xfId="0" applyFont="1" applyBorder="1" applyAlignment="1" applyProtection="1">
      <alignment horizontal="center" wrapText="1"/>
    </xf>
    <xf numFmtId="0" fontId="5" fillId="0" borderId="54" xfId="0" applyFont="1" applyBorder="1" applyAlignment="1" applyProtection="1">
      <alignment horizontal="center" wrapText="1"/>
    </xf>
    <xf numFmtId="0" fontId="5" fillId="2" borderId="10" xfId="0" quotePrefix="1" applyFont="1" applyFill="1" applyBorder="1" applyAlignment="1" applyProtection="1">
      <alignment horizontal="right"/>
    </xf>
    <xf numFmtId="0" fontId="5" fillId="2" borderId="16" xfId="0" applyFont="1" applyFill="1" applyBorder="1" applyProtection="1"/>
    <xf numFmtId="0" fontId="3" fillId="2" borderId="16" xfId="0" applyFont="1" applyFill="1" applyBorder="1" applyProtection="1"/>
    <xf numFmtId="0" fontId="3" fillId="2" borderId="55" xfId="0" applyFont="1" applyFill="1" applyBorder="1" applyProtection="1"/>
    <xf numFmtId="0" fontId="3" fillId="8" borderId="6" xfId="0" applyFont="1" applyFill="1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 wrapText="1"/>
      <protection locked="0"/>
    </xf>
    <xf numFmtId="0" fontId="5" fillId="0" borderId="0" xfId="0" applyFont="1" applyBorder="1" applyAlignment="1" applyProtection="1">
      <alignment horizontal="right"/>
    </xf>
    <xf numFmtId="43" fontId="9" fillId="0" borderId="0" xfId="0" applyNumberFormat="1" applyFont="1" applyProtection="1"/>
    <xf numFmtId="0" fontId="9" fillId="0" borderId="42" xfId="0" applyFont="1" applyFill="1" applyBorder="1" applyProtection="1"/>
    <xf numFmtId="0" fontId="19" fillId="0" borderId="0" xfId="0" applyFont="1" applyFill="1" applyProtection="1"/>
    <xf numFmtId="49" fontId="20" fillId="0" borderId="0" xfId="0" quotePrefix="1" applyNumberFormat="1" applyFont="1" applyFill="1" applyAlignment="1" applyProtection="1">
      <alignment horizontal="left"/>
    </xf>
    <xf numFmtId="49" fontId="21" fillId="0" borderId="43" xfId="0" applyNumberFormat="1" applyFont="1" applyBorder="1" applyAlignment="1" applyProtection="1">
      <alignment horizontal="center"/>
    </xf>
    <xf numFmtId="0" fontId="22" fillId="0" borderId="44" xfId="0" applyFont="1" applyBorder="1" applyProtection="1"/>
    <xf numFmtId="49" fontId="21" fillId="0" borderId="1" xfId="0" applyNumberFormat="1" applyFont="1" applyBorder="1" applyAlignment="1" applyProtection="1">
      <alignment horizontal="center"/>
    </xf>
    <xf numFmtId="0" fontId="22" fillId="0" borderId="0" xfId="0" applyFont="1" applyBorder="1" applyProtection="1"/>
    <xf numFmtId="0" fontId="24" fillId="0" borderId="0" xfId="0" quotePrefix="1" applyFont="1" applyBorder="1" applyAlignment="1" applyProtection="1">
      <alignment horizontal="left"/>
    </xf>
    <xf numFmtId="14" fontId="21" fillId="0" borderId="0" xfId="0" applyNumberFormat="1" applyFont="1" applyBorder="1" applyAlignment="1" applyProtection="1">
      <alignment horizontal="left"/>
    </xf>
    <xf numFmtId="0" fontId="25" fillId="0" borderId="0" xfId="0" applyFont="1" applyBorder="1" applyAlignment="1" applyProtection="1">
      <alignment horizontal="center"/>
    </xf>
    <xf numFmtId="0" fontId="27" fillId="0" borderId="0" xfId="0" applyFont="1" applyBorder="1" applyProtection="1"/>
    <xf numFmtId="49" fontId="21" fillId="0" borderId="56" xfId="0" applyNumberFormat="1" applyFont="1" applyBorder="1" applyAlignment="1" applyProtection="1">
      <alignment horizontal="center"/>
    </xf>
    <xf numFmtId="0" fontId="22" fillId="0" borderId="13" xfId="0" applyFont="1" applyFill="1" applyBorder="1" applyProtection="1"/>
    <xf numFmtId="0" fontId="25" fillId="0" borderId="5" xfId="0" applyFont="1" applyFill="1" applyBorder="1" applyAlignment="1" applyProtection="1">
      <alignment horizontal="center"/>
    </xf>
    <xf numFmtId="0" fontId="22" fillId="0" borderId="5" xfId="0" applyFont="1" applyFill="1" applyBorder="1" applyProtection="1"/>
    <xf numFmtId="0" fontId="22" fillId="0" borderId="5" xfId="0" applyFont="1" applyBorder="1" applyProtection="1"/>
    <xf numFmtId="0" fontId="25" fillId="0" borderId="22" xfId="0" applyFont="1" applyBorder="1" applyProtection="1"/>
    <xf numFmtId="49" fontId="26" fillId="0" borderId="8" xfId="0" applyNumberFormat="1" applyFont="1" applyBorder="1" applyAlignment="1" applyProtection="1">
      <alignment horizontal="center"/>
    </xf>
    <xf numFmtId="0" fontId="25" fillId="0" borderId="49" xfId="0" applyFont="1" applyFill="1" applyBorder="1" applyAlignment="1" applyProtection="1">
      <alignment horizontal="center"/>
    </xf>
    <xf numFmtId="0" fontId="25" fillId="0" borderId="15" xfId="0" applyFont="1" applyFill="1" applyBorder="1" applyAlignment="1" applyProtection="1">
      <alignment horizontal="center"/>
    </xf>
    <xf numFmtId="0" fontId="22" fillId="0" borderId="0" xfId="0" applyFont="1" applyFill="1" applyBorder="1" applyProtection="1"/>
    <xf numFmtId="0" fontId="25" fillId="0" borderId="6" xfId="0" applyFont="1" applyFill="1" applyBorder="1" applyAlignment="1" applyProtection="1">
      <alignment horizontal="center"/>
    </xf>
    <xf numFmtId="0" fontId="22" fillId="0" borderId="6" xfId="0" applyFont="1" applyFill="1" applyBorder="1" applyProtection="1"/>
    <xf numFmtId="0" fontId="28" fillId="0" borderId="6" xfId="0" applyFont="1" applyFill="1" applyBorder="1" applyAlignment="1" applyProtection="1">
      <alignment horizontal="center"/>
    </xf>
    <xf numFmtId="0" fontId="22" fillId="0" borderId="6" xfId="0" applyFont="1" applyBorder="1" applyProtection="1"/>
    <xf numFmtId="0" fontId="26" fillId="0" borderId="20" xfId="0" applyFont="1" applyBorder="1" applyAlignment="1" applyProtection="1">
      <alignment horizontal="center"/>
    </xf>
    <xf numFmtId="49" fontId="21" fillId="0" borderId="9" xfId="0" applyNumberFormat="1" applyFont="1" applyBorder="1" applyAlignment="1" applyProtection="1">
      <alignment horizontal="center"/>
    </xf>
    <xf numFmtId="0" fontId="30" fillId="0" borderId="50" xfId="0" applyFont="1" applyFill="1" applyBorder="1" applyAlignment="1" applyProtection="1">
      <alignment horizontal="center"/>
    </xf>
    <xf numFmtId="0" fontId="30" fillId="0" borderId="41" xfId="0" applyFont="1" applyFill="1" applyBorder="1" applyAlignment="1" applyProtection="1">
      <alignment horizontal="center"/>
    </xf>
    <xf numFmtId="0" fontId="22" fillId="0" borderId="28" xfId="0" applyFont="1" applyFill="1" applyBorder="1" applyProtection="1"/>
    <xf numFmtId="0" fontId="30" fillId="0" borderId="7" xfId="0" applyFont="1" applyFill="1" applyBorder="1" applyAlignment="1" applyProtection="1">
      <alignment horizontal="center"/>
    </xf>
    <xf numFmtId="0" fontId="22" fillId="0" borderId="7" xfId="0" applyFont="1" applyFill="1" applyBorder="1" applyProtection="1"/>
    <xf numFmtId="0" fontId="22" fillId="0" borderId="7" xfId="0" applyFont="1" applyBorder="1" applyProtection="1"/>
    <xf numFmtId="0" fontId="22" fillId="0" borderId="47" xfId="0" applyFont="1" applyBorder="1" applyProtection="1"/>
    <xf numFmtId="49" fontId="21" fillId="0" borderId="8" xfId="0" applyNumberFormat="1" applyFont="1" applyBorder="1" applyAlignment="1" applyProtection="1">
      <alignment horizontal="center"/>
    </xf>
    <xf numFmtId="0" fontId="22" fillId="0" borderId="49" xfId="0" applyFont="1" applyBorder="1" applyProtection="1"/>
    <xf numFmtId="0" fontId="22" fillId="0" borderId="15" xfId="0" applyFont="1" applyBorder="1" applyProtection="1"/>
    <xf numFmtId="0" fontId="22" fillId="0" borderId="48" xfId="0" applyFont="1" applyBorder="1" applyProtection="1"/>
    <xf numFmtId="1" fontId="22" fillId="0" borderId="14" xfId="0" applyNumberFormat="1" applyFont="1" applyBorder="1" applyAlignment="1" applyProtection="1">
      <alignment horizontal="right"/>
    </xf>
    <xf numFmtId="169" fontId="32" fillId="0" borderId="49" xfId="0" applyNumberFormat="1" applyFont="1" applyBorder="1" applyAlignment="1" applyProtection="1">
      <alignment horizontal="right"/>
    </xf>
    <xf numFmtId="169" fontId="32" fillId="0" borderId="15" xfId="0" applyNumberFormat="1" applyFont="1" applyBorder="1" applyAlignment="1" applyProtection="1">
      <alignment horizontal="right"/>
    </xf>
    <xf numFmtId="169" fontId="32" fillId="0" borderId="15" xfId="0" applyNumberFormat="1" applyFont="1" applyBorder="1" applyAlignment="1" applyProtection="1">
      <alignment horizontal="right"/>
      <protection locked="0"/>
    </xf>
    <xf numFmtId="169" fontId="32" fillId="0" borderId="41" xfId="0" applyNumberFormat="1" applyFont="1" applyBorder="1" applyAlignment="1" applyProtection="1">
      <alignment horizontal="right"/>
      <protection locked="0"/>
    </xf>
    <xf numFmtId="0" fontId="25" fillId="2" borderId="12" xfId="0" quotePrefix="1" applyFont="1" applyFill="1" applyBorder="1" applyAlignment="1" applyProtection="1">
      <alignment horizontal="left"/>
    </xf>
    <xf numFmtId="0" fontId="33" fillId="2" borderId="16" xfId="0" applyFont="1" applyFill="1" applyBorder="1" applyProtection="1"/>
    <xf numFmtId="0" fontId="33" fillId="0" borderId="0" xfId="0" applyFont="1" applyFill="1" applyBorder="1" applyProtection="1"/>
    <xf numFmtId="0" fontId="33" fillId="0" borderId="2" xfId="0" applyFont="1" applyBorder="1" applyProtection="1"/>
    <xf numFmtId="49" fontId="21" fillId="0" borderId="3" xfId="0" applyNumberFormat="1" applyFont="1" applyBorder="1" applyAlignment="1" applyProtection="1">
      <alignment horizontal="center"/>
    </xf>
    <xf numFmtId="0" fontId="22" fillId="0" borderId="4" xfId="0" applyFont="1" applyBorder="1" applyProtection="1"/>
    <xf numFmtId="0" fontId="22" fillId="0" borderId="40" xfId="0" applyFont="1" applyBorder="1" applyProtection="1"/>
    <xf numFmtId="0" fontId="31" fillId="0" borderId="8" xfId="0" applyNumberFormat="1" applyFont="1" applyBorder="1" applyAlignment="1" applyProtection="1">
      <alignment horizontal="center"/>
    </xf>
    <xf numFmtId="169" fontId="22" fillId="0" borderId="6" xfId="0" applyNumberFormat="1" applyFont="1" applyBorder="1" applyProtection="1"/>
    <xf numFmtId="169" fontId="22" fillId="0" borderId="6" xfId="0" applyNumberFormat="1" applyFont="1" applyBorder="1" applyAlignment="1" applyProtection="1">
      <alignment horizontal="right"/>
    </xf>
    <xf numFmtId="169" fontId="22" fillId="0" borderId="6" xfId="0" applyNumberFormat="1" applyFont="1" applyFill="1" applyBorder="1" applyProtection="1"/>
    <xf numFmtId="169" fontId="22" fillId="0" borderId="7" xfId="0" applyNumberFormat="1" applyFont="1" applyBorder="1" applyAlignment="1" applyProtection="1">
      <alignment horizontal="right"/>
    </xf>
    <xf numFmtId="169" fontId="22" fillId="0" borderId="7" xfId="0" applyNumberFormat="1" applyFont="1" applyFill="1" applyBorder="1" applyProtection="1"/>
    <xf numFmtId="169" fontId="25" fillId="2" borderId="12" xfId="0" applyNumberFormat="1" applyFont="1" applyFill="1" applyBorder="1" applyProtection="1"/>
    <xf numFmtId="169" fontId="25" fillId="2" borderId="11" xfId="0" applyNumberFormat="1" applyFont="1" applyFill="1" applyBorder="1" applyProtection="1"/>
    <xf numFmtId="169" fontId="29" fillId="2" borderId="16" xfId="0" applyNumberFormat="1" applyFont="1" applyFill="1" applyBorder="1" applyAlignment="1" applyProtection="1">
      <alignment horizontal="right"/>
    </xf>
    <xf numFmtId="169" fontId="23" fillId="2" borderId="19" xfId="0" applyNumberFormat="1" applyFont="1" applyFill="1" applyBorder="1" applyAlignment="1" applyProtection="1">
      <alignment horizontal="right"/>
    </xf>
    <xf numFmtId="169" fontId="33" fillId="2" borderId="16" xfId="0" applyNumberFormat="1" applyFont="1" applyFill="1" applyBorder="1" applyProtection="1"/>
    <xf numFmtId="0" fontId="22" fillId="7" borderId="20" xfId="0" applyFont="1" applyFill="1" applyBorder="1" applyProtection="1"/>
    <xf numFmtId="0" fontId="22" fillId="7" borderId="20" xfId="0" applyFont="1" applyFill="1" applyBorder="1" applyProtection="1">
      <protection locked="0"/>
    </xf>
    <xf numFmtId="0" fontId="22" fillId="7" borderId="20" xfId="0" applyFont="1" applyFill="1" applyBorder="1" applyAlignment="1" applyProtection="1">
      <alignment wrapText="1"/>
      <protection locked="0"/>
    </xf>
    <xf numFmtId="0" fontId="22" fillId="7" borderId="47" xfId="0" applyFont="1" applyFill="1" applyBorder="1" applyProtection="1">
      <protection locked="0"/>
    </xf>
    <xf numFmtId="0" fontId="22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 applyFill="1" applyProtection="1">
      <protection locked="0"/>
    </xf>
    <xf numFmtId="49" fontId="21" fillId="0" borderId="0" xfId="0" applyNumberFormat="1" applyFont="1" applyBorder="1" applyAlignment="1" applyProtection="1">
      <alignment horizontal="center"/>
      <protection locked="0"/>
    </xf>
    <xf numFmtId="0" fontId="22" fillId="0" borderId="0" xfId="0" applyFont="1" applyBorder="1" applyProtection="1">
      <protection locked="0"/>
    </xf>
    <xf numFmtId="0" fontId="21" fillId="0" borderId="0" xfId="0" applyFont="1" applyBorder="1" applyProtection="1">
      <protection locked="0"/>
    </xf>
    <xf numFmtId="170" fontId="22" fillId="0" borderId="0" xfId="0" applyNumberFormat="1" applyFont="1" applyBorder="1" applyProtection="1">
      <protection locked="0"/>
    </xf>
    <xf numFmtId="0" fontId="34" fillId="0" borderId="0" xfId="0" applyFont="1" applyBorder="1" applyAlignment="1" applyProtection="1">
      <alignment horizontal="left" vertical="center"/>
      <protection locked="0"/>
    </xf>
    <xf numFmtId="0" fontId="5" fillId="0" borderId="19" xfId="0" applyFont="1" applyBorder="1" applyProtection="1">
      <protection locked="0"/>
    </xf>
    <xf numFmtId="0" fontId="5" fillId="10" borderId="12" xfId="0" applyFont="1" applyFill="1" applyBorder="1" applyAlignment="1" applyProtection="1">
      <alignment horizontal="center"/>
      <protection locked="0"/>
    </xf>
    <xf numFmtId="0" fontId="5" fillId="0" borderId="19" xfId="0" applyFont="1" applyBorder="1" applyAlignment="1" applyProtection="1">
      <alignment horizontal="center"/>
      <protection locked="0"/>
    </xf>
    <xf numFmtId="0" fontId="3" fillId="0" borderId="49" xfId="0" applyFont="1" applyBorder="1" applyProtection="1">
      <protection locked="0"/>
    </xf>
    <xf numFmtId="0" fontId="5" fillId="0" borderId="0" xfId="0" applyFont="1" applyProtection="1">
      <protection locked="0"/>
    </xf>
    <xf numFmtId="0" fontId="35" fillId="0" borderId="0" xfId="1" applyFont="1" applyAlignment="1" applyProtection="1"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7" xfId="0" applyFont="1" applyBorder="1" applyAlignment="1" applyProtection="1">
      <alignment horizontal="center"/>
      <protection locked="0"/>
    </xf>
    <xf numFmtId="0" fontId="35" fillId="0" borderId="0" xfId="1" applyFont="1" applyAlignment="1" applyProtection="1"/>
    <xf numFmtId="0" fontId="18" fillId="0" borderId="0" xfId="0" applyFont="1" applyProtection="1"/>
    <xf numFmtId="1" fontId="3" fillId="7" borderId="8" xfId="0" applyNumberFormat="1" applyFont="1" applyFill="1" applyBorder="1" applyAlignment="1" applyProtection="1">
      <alignment horizontal="center"/>
      <protection locked="0"/>
    </xf>
    <xf numFmtId="1" fontId="3" fillId="7" borderId="6" xfId="0" applyNumberFormat="1" applyFont="1" applyFill="1" applyBorder="1" applyAlignment="1" applyProtection="1">
      <alignment horizontal="center"/>
      <protection locked="0"/>
    </xf>
    <xf numFmtId="1" fontId="3" fillId="7" borderId="36" xfId="0" applyNumberFormat="1" applyFont="1" applyFill="1" applyBorder="1" applyAlignment="1" applyProtection="1">
      <alignment horizontal="center"/>
      <protection locked="0"/>
    </xf>
    <xf numFmtId="1" fontId="3" fillId="7" borderId="39" xfId="0" applyNumberFormat="1" applyFont="1" applyFill="1" applyBorder="1" applyAlignment="1" applyProtection="1">
      <alignment horizontal="center"/>
      <protection locked="0"/>
    </xf>
    <xf numFmtId="43" fontId="3" fillId="7" borderId="39" xfId="0" applyNumberFormat="1" applyFont="1" applyFill="1" applyBorder="1" applyAlignment="1" applyProtection="1">
      <alignment horizontal="center"/>
      <protection locked="0"/>
    </xf>
    <xf numFmtId="43" fontId="3" fillId="7" borderId="8" xfId="0" applyNumberFormat="1" applyFont="1" applyFill="1" applyBorder="1" applyAlignment="1" applyProtection="1">
      <alignment horizontal="center"/>
      <protection locked="0"/>
    </xf>
    <xf numFmtId="164" fontId="3" fillId="7" borderId="20" xfId="0" applyNumberFormat="1" applyFont="1" applyFill="1" applyBorder="1" applyAlignment="1" applyProtection="1">
      <protection locked="0"/>
    </xf>
    <xf numFmtId="43" fontId="3" fillId="7" borderId="35" xfId="0" applyNumberFormat="1" applyFont="1" applyFill="1" applyBorder="1" applyAlignment="1" applyProtection="1">
      <alignment horizontal="center"/>
      <protection locked="0"/>
    </xf>
    <xf numFmtId="43" fontId="3" fillId="7" borderId="36" xfId="0" applyNumberFormat="1" applyFont="1" applyFill="1" applyBorder="1" applyAlignment="1" applyProtection="1">
      <alignment horizontal="center"/>
      <protection locked="0"/>
    </xf>
    <xf numFmtId="164" fontId="3" fillId="7" borderId="37" xfId="0" applyNumberFormat="1" applyFont="1" applyFill="1" applyBorder="1" applyAlignment="1" applyProtection="1">
      <protection locked="0"/>
    </xf>
    <xf numFmtId="43" fontId="3" fillId="7" borderId="38" xfId="0" applyNumberFormat="1" applyFont="1" applyFill="1" applyBorder="1" applyAlignment="1" applyProtection="1">
      <alignment horizontal="center"/>
      <protection locked="0"/>
    </xf>
    <xf numFmtId="0" fontId="3" fillId="7" borderId="20" xfId="0" applyFont="1" applyFill="1" applyBorder="1" applyProtection="1">
      <protection locked="0"/>
    </xf>
    <xf numFmtId="9" fontId="3" fillId="7" borderId="20" xfId="0" applyNumberFormat="1" applyFont="1" applyFill="1" applyBorder="1" applyAlignment="1" applyProtection="1">
      <alignment horizontal="center"/>
      <protection locked="0"/>
    </xf>
    <xf numFmtId="0" fontId="3" fillId="7" borderId="35" xfId="0" applyFont="1" applyFill="1" applyBorder="1" applyAlignment="1" applyProtection="1">
      <alignment horizontal="center"/>
      <protection locked="0"/>
    </xf>
    <xf numFmtId="0" fontId="5" fillId="2" borderId="32" xfId="0" quotePrefix="1" applyFont="1" applyFill="1" applyBorder="1" applyAlignment="1" applyProtection="1">
      <alignment horizontal="right"/>
    </xf>
    <xf numFmtId="0" fontId="5" fillId="2" borderId="57" xfId="0" applyFont="1" applyFill="1" applyBorder="1" applyAlignment="1" applyProtection="1">
      <alignment horizontal="left"/>
    </xf>
    <xf numFmtId="0" fontId="5" fillId="2" borderId="57" xfId="0" applyFont="1" applyFill="1" applyBorder="1" applyAlignment="1" applyProtection="1">
      <alignment horizontal="center"/>
    </xf>
    <xf numFmtId="0" fontId="15" fillId="0" borderId="0" xfId="0" applyFont="1"/>
    <xf numFmtId="0" fontId="5" fillId="0" borderId="4" xfId="0" applyFont="1" applyBorder="1" applyAlignment="1" applyProtection="1">
      <alignment horizontal="left"/>
      <protection locked="0"/>
    </xf>
    <xf numFmtId="0" fontId="37" fillId="0" borderId="0" xfId="1" applyFont="1" applyAlignment="1" applyProtection="1"/>
    <xf numFmtId="0" fontId="38" fillId="0" borderId="0" xfId="1" applyFont="1" applyAlignment="1" applyProtection="1"/>
    <xf numFmtId="0" fontId="35" fillId="0" borderId="45" xfId="1" applyFont="1" applyBorder="1" applyAlignment="1" applyProtection="1">
      <alignment horizontal="center"/>
      <protection locked="0"/>
    </xf>
    <xf numFmtId="0" fontId="10" fillId="0" borderId="0" xfId="2" applyFont="1"/>
    <xf numFmtId="0" fontId="1" fillId="0" borderId="0" xfId="2"/>
    <xf numFmtId="171" fontId="3" fillId="7" borderId="6" xfId="0" applyNumberFormat="1" applyFont="1" applyFill="1" applyBorder="1" applyProtection="1">
      <protection locked="0"/>
    </xf>
    <xf numFmtId="171" fontId="3" fillId="7" borderId="7" xfId="0" applyNumberFormat="1" applyFont="1" applyFill="1" applyBorder="1" applyProtection="1">
      <protection locked="0"/>
    </xf>
    <xf numFmtId="171" fontId="3" fillId="0" borderId="6" xfId="0" applyNumberFormat="1" applyFont="1" applyBorder="1" applyAlignment="1">
      <alignment horizontal="center"/>
    </xf>
    <xf numFmtId="171" fontId="3" fillId="0" borderId="20" xfId="0" applyNumberFormat="1" applyFont="1" applyBorder="1"/>
    <xf numFmtId="171" fontId="3" fillId="0" borderId="7" xfId="0" applyNumberFormat="1" applyFont="1" applyBorder="1" applyAlignment="1">
      <alignment horizontal="center"/>
    </xf>
    <xf numFmtId="171" fontId="3" fillId="0" borderId="47" xfId="0" applyNumberFormat="1" applyFont="1" applyBorder="1"/>
    <xf numFmtId="171" fontId="5" fillId="0" borderId="19" xfId="0" applyNumberFormat="1" applyFont="1" applyBorder="1" applyAlignment="1">
      <alignment horizontal="center"/>
    </xf>
    <xf numFmtId="171" fontId="5" fillId="0" borderId="21" xfId="0" applyNumberFormat="1" applyFont="1" applyBorder="1" applyAlignment="1">
      <alignment horizontal="center"/>
    </xf>
    <xf numFmtId="171" fontId="3" fillId="0" borderId="6" xfId="0" applyNumberFormat="1" applyFont="1" applyFill="1" applyBorder="1"/>
    <xf numFmtId="171" fontId="3" fillId="0" borderId="7" xfId="0" applyNumberFormat="1" applyFont="1" applyFill="1" applyBorder="1"/>
    <xf numFmtId="171" fontId="3" fillId="9" borderId="6" xfId="0" applyNumberFormat="1" applyFont="1" applyFill="1" applyBorder="1" applyProtection="1"/>
    <xf numFmtId="0" fontId="5" fillId="11" borderId="50" xfId="0" applyFont="1" applyFill="1" applyBorder="1" applyProtection="1">
      <protection locked="0"/>
    </xf>
    <xf numFmtId="0" fontId="3" fillId="11" borderId="7" xfId="0" applyFont="1" applyFill="1" applyBorder="1" applyAlignment="1" applyProtection="1">
      <alignment horizontal="center"/>
      <protection locked="0"/>
    </xf>
    <xf numFmtId="0" fontId="3" fillId="0" borderId="14" xfId="0" applyFont="1" applyBorder="1" applyProtection="1">
      <protection locked="0"/>
    </xf>
    <xf numFmtId="0" fontId="3" fillId="0" borderId="5" xfId="0" applyFont="1" applyBorder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alignment horizontal="center"/>
      <protection locked="0"/>
    </xf>
    <xf numFmtId="0" fontId="3" fillId="12" borderId="19" xfId="0" applyFont="1" applyFill="1" applyBorder="1" applyProtection="1">
      <protection locked="0"/>
    </xf>
    <xf numFmtId="0" fontId="5" fillId="0" borderId="12" xfId="0" applyFont="1" applyBorder="1" applyProtection="1">
      <protection locked="0"/>
    </xf>
    <xf numFmtId="0" fontId="5" fillId="0" borderId="28" xfId="0" applyFont="1" applyBorder="1" applyProtection="1">
      <protection locked="0"/>
    </xf>
    <xf numFmtId="0" fontId="3" fillId="13" borderId="6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0" borderId="58" xfId="0" applyFont="1" applyBorder="1" applyAlignment="1" applyProtection="1">
      <alignment wrapText="1"/>
      <protection locked="0"/>
    </xf>
    <xf numFmtId="0" fontId="3" fillId="0" borderId="59" xfId="0" applyFont="1" applyBorder="1" applyAlignment="1" applyProtection="1">
      <alignment wrapText="1"/>
      <protection locked="0"/>
    </xf>
    <xf numFmtId="0" fontId="5" fillId="0" borderId="0" xfId="0" applyFont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</xf>
    <xf numFmtId="0" fontId="2" fillId="0" borderId="44" xfId="0" applyFont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7" borderId="12" xfId="0" applyFont="1" applyFill="1" applyBorder="1" applyAlignment="1" applyProtection="1">
      <alignment wrapText="1"/>
      <protection locked="0"/>
    </xf>
    <xf numFmtId="0" fontId="3" fillId="7" borderId="11" xfId="0" applyFont="1" applyFill="1" applyBorder="1" applyAlignment="1" applyProtection="1">
      <alignment wrapText="1"/>
      <protection locked="0"/>
    </xf>
    <xf numFmtId="43" fontId="5" fillId="0" borderId="22" xfId="0" applyNumberFormat="1" applyFont="1" applyBorder="1" applyAlignment="1">
      <alignment horizontal="center"/>
    </xf>
    <xf numFmtId="43" fontId="5" fillId="0" borderId="47" xfId="0" applyNumberFormat="1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16" fillId="0" borderId="17" xfId="0" applyFont="1" applyBorder="1" applyAlignment="1">
      <alignment horizontal="right"/>
    </xf>
    <xf numFmtId="0" fontId="16" fillId="0" borderId="13" xfId="0" applyFont="1" applyBorder="1" applyAlignment="1">
      <alignment horizontal="right"/>
    </xf>
    <xf numFmtId="0" fontId="16" fillId="0" borderId="14" xfId="0" applyFont="1" applyBorder="1" applyAlignment="1">
      <alignment horizontal="right"/>
    </xf>
    <xf numFmtId="0" fontId="16" fillId="0" borderId="18" xfId="0" applyFont="1" applyBorder="1" applyAlignment="1">
      <alignment horizontal="right"/>
    </xf>
    <xf numFmtId="0" fontId="16" fillId="0" borderId="28" xfId="0" applyFont="1" applyBorder="1" applyAlignment="1">
      <alignment horizontal="right"/>
    </xf>
    <xf numFmtId="0" fontId="16" fillId="0" borderId="41" xfId="0" applyFont="1" applyBorder="1" applyAlignment="1">
      <alignment horizontal="right"/>
    </xf>
    <xf numFmtId="43" fontId="5" fillId="0" borderId="5" xfId="0" applyNumberFormat="1" applyFont="1" applyBorder="1" applyAlignment="1">
      <alignment horizontal="center"/>
    </xf>
    <xf numFmtId="43" fontId="5" fillId="0" borderId="7" xfId="0" applyNumberFormat="1" applyFont="1" applyBorder="1" applyAlignment="1">
      <alignment horizontal="center"/>
    </xf>
    <xf numFmtId="0" fontId="5" fillId="0" borderId="43" xfId="0" applyFont="1" applyBorder="1" applyAlignment="1" applyProtection="1">
      <alignment horizontal="right"/>
    </xf>
    <xf numFmtId="0" fontId="5" fillId="0" borderId="44" xfId="0" applyFont="1" applyBorder="1" applyAlignment="1" applyProtection="1">
      <alignment horizontal="right"/>
    </xf>
    <xf numFmtId="0" fontId="5" fillId="0" borderId="45" xfId="0" applyFont="1" applyBorder="1" applyAlignment="1" applyProtection="1">
      <alignment horizontal="right"/>
    </xf>
    <xf numFmtId="0" fontId="5" fillId="0" borderId="3" xfId="0" applyFont="1" applyBorder="1" applyAlignment="1" applyProtection="1">
      <alignment horizontal="right"/>
    </xf>
    <xf numFmtId="0" fontId="5" fillId="0" borderId="4" xfId="0" applyFont="1" applyBorder="1" applyAlignment="1" applyProtection="1">
      <alignment horizontal="right"/>
    </xf>
    <xf numFmtId="0" fontId="5" fillId="0" borderId="40" xfId="0" applyFont="1" applyBorder="1" applyAlignment="1" applyProtection="1">
      <alignment horizontal="right"/>
    </xf>
    <xf numFmtId="164" fontId="5" fillId="0" borderId="35" xfId="0" applyNumberFormat="1" applyFont="1" applyBorder="1" applyProtection="1"/>
    <xf numFmtId="0" fontId="5" fillId="0" borderId="38" xfId="0" applyFont="1" applyBorder="1" applyProtection="1"/>
    <xf numFmtId="43" fontId="5" fillId="0" borderId="42" xfId="0" applyNumberFormat="1" applyFont="1" applyBorder="1" applyAlignment="1" applyProtection="1">
      <alignment horizontal="center" vertical="center"/>
    </xf>
    <xf numFmtId="43" fontId="5" fillId="0" borderId="38" xfId="0" applyNumberFormat="1" applyFont="1" applyBorder="1" applyAlignment="1" applyProtection="1">
      <alignment horizontal="center" vertical="center"/>
    </xf>
    <xf numFmtId="0" fontId="5" fillId="0" borderId="43" xfId="0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>
      <alignment horizontal="right"/>
    </xf>
    <xf numFmtId="0" fontId="5" fillId="0" borderId="45" xfId="0" applyFont="1" applyFill="1" applyBorder="1" applyAlignment="1" applyProtection="1">
      <alignment horizontal="right"/>
    </xf>
    <xf numFmtId="0" fontId="5" fillId="0" borderId="3" xfId="0" applyFont="1" applyFill="1" applyBorder="1" applyAlignment="1" applyProtection="1">
      <alignment horizontal="right"/>
    </xf>
    <xf numFmtId="0" fontId="5" fillId="0" borderId="4" xfId="0" applyFont="1" applyFill="1" applyBorder="1" applyAlignment="1" applyProtection="1">
      <alignment horizontal="right"/>
    </xf>
    <xf numFmtId="0" fontId="5" fillId="0" borderId="40" xfId="0" applyFont="1" applyFill="1" applyBorder="1" applyAlignment="1" applyProtection="1">
      <alignment horizontal="right"/>
    </xf>
    <xf numFmtId="166" fontId="10" fillId="0" borderId="45" xfId="0" applyNumberFormat="1" applyFont="1" applyBorder="1" applyAlignment="1" applyProtection="1">
      <alignment horizontal="center" vertical="center"/>
    </xf>
    <xf numFmtId="166" fontId="10" fillId="0" borderId="40" xfId="0" applyNumberFormat="1" applyFont="1" applyBorder="1" applyAlignment="1" applyProtection="1">
      <alignment horizontal="center" vertical="center"/>
    </xf>
    <xf numFmtId="166" fontId="10" fillId="0" borderId="52" xfId="0" applyNumberFormat="1" applyFont="1" applyBorder="1" applyAlignment="1" applyProtection="1">
      <alignment horizontal="center" vertical="center"/>
    </xf>
    <xf numFmtId="166" fontId="10" fillId="0" borderId="36" xfId="0" applyNumberFormat="1" applyFont="1" applyBorder="1" applyAlignment="1" applyProtection="1">
      <alignment horizontal="center" vertical="center"/>
    </xf>
    <xf numFmtId="0" fontId="14" fillId="0" borderId="0" xfId="0" applyFont="1" applyProtection="1"/>
    <xf numFmtId="0" fontId="5" fillId="0" borderId="0" xfId="0" applyFont="1" applyProtection="1"/>
    <xf numFmtId="0" fontId="5" fillId="8" borderId="43" xfId="0" applyFont="1" applyFill="1" applyBorder="1" applyAlignment="1" applyProtection="1">
      <alignment horizontal="right"/>
    </xf>
    <xf numFmtId="0" fontId="5" fillId="8" borderId="44" xfId="0" applyFont="1" applyFill="1" applyBorder="1" applyAlignment="1" applyProtection="1">
      <alignment horizontal="right"/>
    </xf>
    <xf numFmtId="0" fontId="5" fillId="8" borderId="45" xfId="0" applyFont="1" applyFill="1" applyBorder="1" applyAlignment="1" applyProtection="1">
      <alignment horizontal="right"/>
    </xf>
    <xf numFmtId="0" fontId="5" fillId="8" borderId="3" xfId="0" applyFont="1" applyFill="1" applyBorder="1" applyAlignment="1" applyProtection="1">
      <alignment horizontal="right"/>
    </xf>
    <xf numFmtId="0" fontId="5" fillId="8" borderId="4" xfId="0" applyFont="1" applyFill="1" applyBorder="1" applyAlignment="1" applyProtection="1">
      <alignment horizontal="right"/>
    </xf>
    <xf numFmtId="0" fontId="5" fillId="8" borderId="40" xfId="0" applyFont="1" applyFill="1" applyBorder="1" applyAlignment="1" applyProtection="1">
      <alignment horizontal="right"/>
    </xf>
    <xf numFmtId="43" fontId="5" fillId="0" borderId="42" xfId="0" applyNumberFormat="1" applyFont="1" applyBorder="1" applyProtection="1"/>
    <xf numFmtId="43" fontId="5" fillId="0" borderId="38" xfId="0" applyNumberFormat="1" applyFont="1" applyBorder="1" applyProtection="1"/>
    <xf numFmtId="0" fontId="36" fillId="0" borderId="0" xfId="0" applyFont="1" applyProtection="1"/>
    <xf numFmtId="0" fontId="27" fillId="0" borderId="49" xfId="0" quotePrefix="1" applyFont="1" applyBorder="1" applyAlignment="1" applyProtection="1">
      <alignment horizontal="left"/>
    </xf>
    <xf numFmtId="0" fontId="27" fillId="0" borderId="15" xfId="0" quotePrefix="1" applyFont="1" applyBorder="1" applyAlignment="1" applyProtection="1">
      <alignment horizontal="left"/>
    </xf>
    <xf numFmtId="0" fontId="23" fillId="0" borderId="44" xfId="0" applyFont="1" applyBorder="1" applyAlignment="1" applyProtection="1">
      <alignment horizontal="center"/>
    </xf>
    <xf numFmtId="0" fontId="23" fillId="0" borderId="0" xfId="0" applyFont="1" applyBorder="1" applyAlignment="1" applyProtection="1">
      <alignment horizontal="center"/>
    </xf>
    <xf numFmtId="0" fontId="26" fillId="0" borderId="4" xfId="0" applyFont="1" applyBorder="1" applyAlignment="1" applyProtection="1">
      <alignment horizontal="left"/>
    </xf>
    <xf numFmtId="0" fontId="26" fillId="0" borderId="60" xfId="0" applyFont="1" applyBorder="1" applyAlignment="1" applyProtection="1">
      <alignment horizontal="left"/>
    </xf>
    <xf numFmtId="0" fontId="25" fillId="0" borderId="48" xfId="0" quotePrefix="1" applyFont="1" applyFill="1" applyBorder="1" applyAlignment="1" applyProtection="1">
      <alignment horizontal="center"/>
    </xf>
    <xf numFmtId="0" fontId="25" fillId="0" borderId="14" xfId="0" quotePrefix="1" applyFont="1" applyFill="1" applyBorder="1" applyAlignment="1" applyProtection="1">
      <alignment horizontal="center"/>
    </xf>
    <xf numFmtId="0" fontId="25" fillId="0" borderId="48" xfId="0" applyFont="1" applyFill="1" applyBorder="1" applyAlignment="1" applyProtection="1">
      <alignment horizontal="center"/>
    </xf>
    <xf numFmtId="0" fontId="25" fillId="0" borderId="49" xfId="0" applyFont="1" applyFill="1" applyBorder="1" applyAlignment="1" applyProtection="1">
      <alignment horizontal="center"/>
    </xf>
    <xf numFmtId="0" fontId="25" fillId="0" borderId="15" xfId="0" quotePrefix="1" applyFont="1" applyFill="1" applyBorder="1" applyAlignment="1" applyProtection="1">
      <alignment horizontal="center"/>
    </xf>
    <xf numFmtId="0" fontId="29" fillId="0" borderId="50" xfId="0" applyFont="1" applyFill="1" applyBorder="1" applyProtection="1"/>
    <xf numFmtId="0" fontId="29" fillId="0" borderId="41" xfId="0" applyFont="1" applyFill="1" applyBorder="1" applyProtection="1"/>
  </cellXfs>
  <cellStyles count="3">
    <cellStyle name="Hyperlink" xfId="1" builtinId="8"/>
    <cellStyle name="Normal" xfId="0" builtinId="0"/>
    <cellStyle name="Normal_New Budget Template020311" xfId="2"/>
  </cellStyles>
  <dxfs count="8">
    <dxf>
      <fill>
        <patternFill>
          <bgColor indexed="26"/>
        </patternFill>
      </fill>
    </dxf>
    <dxf>
      <font>
        <condense val="0"/>
        <extend val="0"/>
        <color indexed="9"/>
      </font>
    </dxf>
    <dxf>
      <fill>
        <patternFill patternType="lightGray">
          <fgColor indexed="55"/>
          <bgColor indexed="65"/>
        </patternFill>
      </fill>
    </dxf>
    <dxf>
      <fill>
        <patternFill patternType="lightGray">
          <fgColor indexed="55"/>
          <bgColor indexed="65"/>
        </patternFill>
      </fill>
    </dxf>
    <dxf>
      <fill>
        <patternFill patternType="lightGray">
          <fgColor indexed="5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indexed="26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4</xdr:row>
          <xdr:rowOff>142875</xdr:rowOff>
        </xdr:from>
        <xdr:to>
          <xdr:col>9</xdr:col>
          <xdr:colOff>533400</xdr:colOff>
          <xdr:row>6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 Totals Page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95250</xdr:colOff>
      <xdr:row>2</xdr:row>
      <xdr:rowOff>66675</xdr:rowOff>
    </xdr:from>
    <xdr:to>
      <xdr:col>3</xdr:col>
      <xdr:colOff>1143000</xdr:colOff>
      <xdr:row>6</xdr:row>
      <xdr:rowOff>152400</xdr:rowOff>
    </xdr:to>
    <xdr:pic>
      <xdr:nvPicPr>
        <xdr:cNvPr id="1040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409575"/>
          <a:ext cx="1047750" cy="76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66675</xdr:rowOff>
        </xdr:from>
        <xdr:to>
          <xdr:col>2</xdr:col>
          <xdr:colOff>771525</xdr:colOff>
          <xdr:row>3</xdr:row>
          <xdr:rowOff>76200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Detail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2943225</xdr:colOff>
          <xdr:row>0</xdr:row>
          <xdr:rowOff>66675</xdr:rowOff>
        </xdr:from>
        <xdr:to>
          <xdr:col>5</xdr:col>
          <xdr:colOff>38100</xdr:colOff>
          <xdr:row>2</xdr:row>
          <xdr:rowOff>66675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0</xdr:row>
          <xdr:rowOff>66675</xdr:rowOff>
        </xdr:from>
        <xdr:to>
          <xdr:col>6</xdr:col>
          <xdr:colOff>228600</xdr:colOff>
          <xdr:row>2</xdr:row>
          <xdr:rowOff>66675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9525</xdr:colOff>
          <xdr:row>2</xdr:row>
          <xdr:rowOff>123825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3</xdr:row>
          <xdr:rowOff>47625</xdr:rowOff>
        </xdr:from>
        <xdr:to>
          <xdr:col>12</xdr:col>
          <xdr:colOff>9525</xdr:colOff>
          <xdr:row>4</xdr:row>
          <xdr:rowOff>276225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9525</xdr:rowOff>
        </xdr:from>
        <xdr:to>
          <xdr:col>3</xdr:col>
          <xdr:colOff>1285875</xdr:colOff>
          <xdr:row>4</xdr:row>
          <xdr:rowOff>95250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6</xdr:row>
          <xdr:rowOff>9525</xdr:rowOff>
        </xdr:from>
        <xdr:to>
          <xdr:col>3</xdr:col>
          <xdr:colOff>1285875</xdr:colOff>
          <xdr:row>8</xdr:row>
          <xdr:rowOff>95250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800080"/>
                  </a:solidFill>
                  <a:latin typeface="Arial"/>
                  <a:cs typeface="Arial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85725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85725</xdr:rowOff>
        </xdr:from>
        <xdr:to>
          <xdr:col>6</xdr:col>
          <xdr:colOff>0</xdr:colOff>
          <xdr:row>8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993366"/>
                  </a:solidFill>
                  <a:latin typeface="Arial"/>
                  <a:cs typeface="Arial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76200</xdr:rowOff>
        </xdr:from>
        <xdr:to>
          <xdr:col>10</xdr:col>
          <xdr:colOff>0</xdr:colOff>
          <xdr:row>2</xdr:row>
          <xdr:rowOff>104775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4</xdr:row>
          <xdr:rowOff>85725</xdr:rowOff>
        </xdr:from>
        <xdr:to>
          <xdr:col>10</xdr:col>
          <xdr:colOff>19050</xdr:colOff>
          <xdr:row>7</xdr:row>
          <xdr:rowOff>19050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Filter OFF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LeanPepp/Local%20Settings/Temporary%20Internet%20Files/OLKB86/New%20Budget%20Template0203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Totals"/>
      <sheetName val="Detail"/>
      <sheetName val="Personnel"/>
      <sheetName val="Crew"/>
      <sheetName val="Comparison"/>
      <sheetName val="Schedule"/>
      <sheetName val="Assumptions"/>
      <sheetName val="Parameters"/>
    </sheetNames>
    <sheetDataSet>
      <sheetData sheetId="0" refreshError="1"/>
      <sheetData sheetId="1"/>
      <sheetData sheetId="2" refreshError="1">
        <row r="30">
          <cell r="I30">
            <v>89012.87</v>
          </cell>
          <cell r="J30">
            <v>0</v>
          </cell>
        </row>
        <row r="31">
          <cell r="C31" t="str">
            <v>03</v>
          </cell>
          <cell r="D31" t="str">
            <v>Artists</v>
          </cell>
          <cell r="E31" t="str">
            <v>-</v>
          </cell>
          <cell r="I31" t="str">
            <v>Per Ep</v>
          </cell>
          <cell r="J31">
            <v>0</v>
          </cell>
        </row>
        <row r="32">
          <cell r="C32" t="str">
            <v>Artists</v>
          </cell>
          <cell r="H32">
            <v>0</v>
          </cell>
          <cell r="I32">
            <v>0</v>
          </cell>
          <cell r="J32">
            <v>0</v>
          </cell>
        </row>
        <row r="33">
          <cell r="C33" t="str">
            <v>03A</v>
          </cell>
          <cell r="D33" t="str">
            <v>Performers Fees</v>
          </cell>
          <cell r="F33">
            <v>0</v>
          </cell>
          <cell r="G33" t="str">
            <v>Occ</v>
          </cell>
          <cell r="H33">
            <v>0</v>
          </cell>
          <cell r="I33">
            <v>0</v>
          </cell>
          <cell r="J33">
            <v>0</v>
          </cell>
        </row>
        <row r="34">
          <cell r="C34" t="str">
            <v>03B</v>
          </cell>
          <cell r="D34" t="str">
            <v>Performers Repeat Fees</v>
          </cell>
          <cell r="E34">
            <v>0</v>
          </cell>
          <cell r="F34">
            <v>0</v>
          </cell>
          <cell r="G34" t="str">
            <v>Occ</v>
          </cell>
          <cell r="H34">
            <v>0</v>
          </cell>
          <cell r="I34">
            <v>0</v>
          </cell>
          <cell r="J34">
            <v>0</v>
          </cell>
        </row>
        <row r="35">
          <cell r="C35" t="str">
            <v>03C</v>
          </cell>
          <cell r="D35" t="str">
            <v>Performers Holiday Pay</v>
          </cell>
          <cell r="E35">
            <v>0</v>
          </cell>
          <cell r="F35">
            <v>0</v>
          </cell>
          <cell r="G35" t="str">
            <v>Occ</v>
          </cell>
          <cell r="H35">
            <v>0</v>
          </cell>
          <cell r="I35">
            <v>0</v>
          </cell>
          <cell r="J35">
            <v>0</v>
          </cell>
        </row>
        <row r="36">
          <cell r="C36" t="str">
            <v>03D</v>
          </cell>
          <cell r="D36" t="str">
            <v>Performers National Insurance</v>
          </cell>
          <cell r="E36">
            <v>0</v>
          </cell>
          <cell r="F36">
            <v>0</v>
          </cell>
          <cell r="G36" t="str">
            <v>Occ</v>
          </cell>
          <cell r="H36">
            <v>0</v>
          </cell>
          <cell r="I36">
            <v>0</v>
          </cell>
          <cell r="J36">
            <v>0</v>
          </cell>
        </row>
        <row r="37">
          <cell r="C37" t="str">
            <v>03E</v>
          </cell>
          <cell r="D37" t="str">
            <v>Production Days</v>
          </cell>
          <cell r="E37">
            <v>0</v>
          </cell>
          <cell r="F37">
            <v>0</v>
          </cell>
          <cell r="G37" t="str">
            <v>Occ</v>
          </cell>
          <cell r="H37">
            <v>0</v>
          </cell>
          <cell r="I37">
            <v>0</v>
          </cell>
          <cell r="J37">
            <v>0</v>
          </cell>
        </row>
        <row r="38">
          <cell r="C38" t="str">
            <v>03F</v>
          </cell>
          <cell r="D38" t="str">
            <v>Make-Up / Wardrobe Attendance Days</v>
          </cell>
          <cell r="E38">
            <v>0</v>
          </cell>
          <cell r="F38">
            <v>0</v>
          </cell>
          <cell r="G38" t="str">
            <v>Occ</v>
          </cell>
          <cell r="H38">
            <v>0</v>
          </cell>
          <cell r="I38">
            <v>0</v>
          </cell>
          <cell r="J38">
            <v>0</v>
          </cell>
        </row>
        <row r="39">
          <cell r="C39" t="str">
            <v>03G</v>
          </cell>
          <cell r="D39" t="str">
            <v>Rehearsal/Stand-By Days</v>
          </cell>
          <cell r="E39">
            <v>0</v>
          </cell>
          <cell r="F39">
            <v>0</v>
          </cell>
          <cell r="G39" t="str">
            <v>Occ</v>
          </cell>
          <cell r="H39">
            <v>0</v>
          </cell>
          <cell r="I39">
            <v>0</v>
          </cell>
          <cell r="J39">
            <v>0</v>
          </cell>
        </row>
        <row r="40">
          <cell r="C40" t="str">
            <v>03H</v>
          </cell>
          <cell r="D40" t="str">
            <v>Performers Overtime</v>
          </cell>
          <cell r="E40">
            <v>0</v>
          </cell>
          <cell r="F40">
            <v>0</v>
          </cell>
          <cell r="G40" t="str">
            <v>Occ</v>
          </cell>
          <cell r="H40">
            <v>0</v>
          </cell>
          <cell r="I40">
            <v>0</v>
          </cell>
          <cell r="J40">
            <v>0</v>
          </cell>
        </row>
        <row r="41">
          <cell r="C41" t="str">
            <v>03I</v>
          </cell>
          <cell r="D41" t="str">
            <v>Stunts</v>
          </cell>
          <cell r="E41">
            <v>0</v>
          </cell>
          <cell r="F41">
            <v>0</v>
          </cell>
          <cell r="G41" t="str">
            <v>Occ</v>
          </cell>
          <cell r="H41">
            <v>0</v>
          </cell>
          <cell r="I41">
            <v>0</v>
          </cell>
          <cell r="J41">
            <v>0</v>
          </cell>
        </row>
        <row r="42">
          <cell r="C42" t="str">
            <v>03J</v>
          </cell>
          <cell r="D42" t="str">
            <v>Choreographer</v>
          </cell>
          <cell r="E42">
            <v>0</v>
          </cell>
          <cell r="F42">
            <v>0</v>
          </cell>
          <cell r="G42" t="str">
            <v>Occ</v>
          </cell>
          <cell r="H42">
            <v>0</v>
          </cell>
          <cell r="I42">
            <v>0</v>
          </cell>
          <cell r="J42">
            <v>0</v>
          </cell>
        </row>
        <row r="43">
          <cell r="C43" t="str">
            <v>03K</v>
          </cell>
          <cell r="D43" t="str">
            <v>Chaperones / Tutors</v>
          </cell>
          <cell r="E43">
            <v>0</v>
          </cell>
          <cell r="F43">
            <v>0</v>
          </cell>
          <cell r="G43" t="str">
            <v>Occ</v>
          </cell>
          <cell r="H43">
            <v>0</v>
          </cell>
          <cell r="I43">
            <v>0</v>
          </cell>
          <cell r="J43">
            <v>0</v>
          </cell>
        </row>
        <row r="44">
          <cell r="C44" t="str">
            <v>03L</v>
          </cell>
          <cell r="D44" t="str">
            <v>Puppeteers</v>
          </cell>
          <cell r="E44">
            <v>0</v>
          </cell>
          <cell r="F44">
            <v>0</v>
          </cell>
          <cell r="G44" t="str">
            <v>Occ</v>
          </cell>
          <cell r="H44">
            <v>0</v>
          </cell>
          <cell r="I44">
            <v>0</v>
          </cell>
          <cell r="J44">
            <v>0</v>
          </cell>
        </row>
        <row r="45">
          <cell r="C45" t="str">
            <v>03M</v>
          </cell>
          <cell r="D45" t="str">
            <v>Extras / Walk-Ons</v>
          </cell>
          <cell r="E45">
            <v>0</v>
          </cell>
          <cell r="F45">
            <v>0</v>
          </cell>
          <cell r="G45" t="str">
            <v>Occ</v>
          </cell>
          <cell r="H45">
            <v>0</v>
          </cell>
          <cell r="I45">
            <v>0</v>
          </cell>
          <cell r="J45">
            <v>0</v>
          </cell>
        </row>
        <row r="46">
          <cell r="C46" t="str">
            <v>03N</v>
          </cell>
          <cell r="D46" t="str">
            <v>Doubles &amp; Stand-Ins</v>
          </cell>
          <cell r="E46">
            <v>0</v>
          </cell>
          <cell r="F46">
            <v>0</v>
          </cell>
          <cell r="G46" t="str">
            <v>Occ</v>
          </cell>
          <cell r="H46">
            <v>0</v>
          </cell>
          <cell r="I46">
            <v>0</v>
          </cell>
          <cell r="J46">
            <v>0</v>
          </cell>
        </row>
        <row r="47">
          <cell r="C47" t="str">
            <v>03O</v>
          </cell>
          <cell r="D47" t="str">
            <v>Dancers</v>
          </cell>
          <cell r="E47">
            <v>0</v>
          </cell>
          <cell r="F47">
            <v>0</v>
          </cell>
          <cell r="G47" t="str">
            <v>Occ</v>
          </cell>
          <cell r="H47">
            <v>0</v>
          </cell>
          <cell r="I47">
            <v>0</v>
          </cell>
          <cell r="J47">
            <v>0</v>
          </cell>
        </row>
        <row r="48">
          <cell r="C48" t="str">
            <v>03P</v>
          </cell>
          <cell r="D48" t="str">
            <v>Backing Vocals</v>
          </cell>
          <cell r="E48">
            <v>0</v>
          </cell>
          <cell r="F48">
            <v>0</v>
          </cell>
          <cell r="G48" t="str">
            <v>Occ</v>
          </cell>
          <cell r="H48">
            <v>0</v>
          </cell>
          <cell r="I48">
            <v>0</v>
          </cell>
          <cell r="J48">
            <v>0</v>
          </cell>
        </row>
        <row r="49">
          <cell r="C49" t="str">
            <v>03Q</v>
          </cell>
          <cell r="D49" t="str">
            <v>Warm-Up Artist</v>
          </cell>
          <cell r="E49">
            <v>0</v>
          </cell>
          <cell r="F49">
            <v>0</v>
          </cell>
          <cell r="G49" t="str">
            <v>Occ</v>
          </cell>
          <cell r="H49">
            <v>0</v>
          </cell>
          <cell r="I49">
            <v>0</v>
          </cell>
          <cell r="J49">
            <v>0</v>
          </cell>
        </row>
        <row r="50">
          <cell r="C50" t="str">
            <v>03R</v>
          </cell>
          <cell r="D50" t="str">
            <v xml:space="preserve">Performers National Insurance </v>
          </cell>
          <cell r="E50">
            <v>0</v>
          </cell>
          <cell r="F50">
            <v>0</v>
          </cell>
          <cell r="G50" t="str">
            <v>Occ</v>
          </cell>
          <cell r="H50">
            <v>0</v>
          </cell>
          <cell r="I50">
            <v>0</v>
          </cell>
          <cell r="J50">
            <v>0</v>
          </cell>
        </row>
        <row r="51">
          <cell r="C51" t="str">
            <v>03Sub Total</v>
          </cell>
          <cell r="E51" t="str">
            <v>Sub Total</v>
          </cell>
          <cell r="F51" t="str">
            <v>Occ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</row>
        <row r="52">
          <cell r="C52" t="str">
            <v>Performers Guarentees</v>
          </cell>
          <cell r="E52">
            <v>0</v>
          </cell>
          <cell r="F52" t="str">
            <v>Occ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</row>
        <row r="53">
          <cell r="D53" t="str">
            <v>Sub-Total</v>
          </cell>
          <cell r="H53">
            <v>0</v>
          </cell>
          <cell r="I53">
            <v>0</v>
          </cell>
          <cell r="J53">
            <v>0</v>
          </cell>
        </row>
        <row r="54">
          <cell r="C54" t="str">
            <v>04</v>
          </cell>
          <cell r="D54" t="str">
            <v>Presenters / Interviewees / Contributors</v>
          </cell>
          <cell r="I54" t="str">
            <v>Per Ep</v>
          </cell>
          <cell r="J54">
            <v>0</v>
          </cell>
        </row>
        <row r="55">
          <cell r="I55">
            <v>25500</v>
          </cell>
          <cell r="J55">
            <v>0</v>
          </cell>
        </row>
        <row r="56">
          <cell r="C56" t="str">
            <v>04A</v>
          </cell>
          <cell r="D56" t="str">
            <v>Presenters</v>
          </cell>
          <cell r="F56">
            <v>0</v>
          </cell>
          <cell r="G56" t="str">
            <v>Occ</v>
          </cell>
          <cell r="H56">
            <v>0</v>
          </cell>
          <cell r="I56">
            <v>0</v>
          </cell>
          <cell r="J56">
            <v>0</v>
          </cell>
        </row>
        <row r="57">
          <cell r="C57" t="str">
            <v>04B</v>
          </cell>
          <cell r="D57" t="str">
            <v>Contributors</v>
          </cell>
          <cell r="F57">
            <v>0</v>
          </cell>
          <cell r="G57" t="str">
            <v>Occ</v>
          </cell>
          <cell r="H57">
            <v>0</v>
          </cell>
          <cell r="I57">
            <v>0</v>
          </cell>
          <cell r="J57">
            <v>0</v>
          </cell>
        </row>
        <row r="58">
          <cell r="C58" t="str">
            <v>04C</v>
          </cell>
          <cell r="D58" t="str">
            <v>Narrators / Voice-Overs</v>
          </cell>
          <cell r="E58">
            <v>6</v>
          </cell>
          <cell r="F58">
            <v>0</v>
          </cell>
          <cell r="G58" t="str">
            <v>Occ</v>
          </cell>
          <cell r="H58">
            <v>0</v>
          </cell>
          <cell r="I58">
            <v>0</v>
          </cell>
          <cell r="J58">
            <v>0</v>
          </cell>
        </row>
        <row r="59">
          <cell r="C59" t="str">
            <v>04D</v>
          </cell>
          <cell r="D59" t="str">
            <v>Guests / Interviewees</v>
          </cell>
          <cell r="F59">
            <v>0</v>
          </cell>
          <cell r="G59" t="str">
            <v>Occ</v>
          </cell>
          <cell r="H59">
            <v>0</v>
          </cell>
          <cell r="I59">
            <v>0</v>
          </cell>
          <cell r="J59">
            <v>0</v>
          </cell>
        </row>
        <row r="60">
          <cell r="C60" t="str">
            <v>04E</v>
          </cell>
          <cell r="D60" t="str">
            <v>Consultants</v>
          </cell>
          <cell r="E60">
            <v>6</v>
          </cell>
          <cell r="F60">
            <v>0</v>
          </cell>
          <cell r="G60" t="str">
            <v>Occ</v>
          </cell>
          <cell r="H60">
            <v>0</v>
          </cell>
          <cell r="I60">
            <v>0</v>
          </cell>
          <cell r="J60">
            <v>0</v>
          </cell>
        </row>
        <row r="61">
          <cell r="C61" t="str">
            <v>04F</v>
          </cell>
          <cell r="D61" t="str">
            <v>Foreign Staff Fees</v>
          </cell>
          <cell r="E61">
            <v>1</v>
          </cell>
          <cell r="F61">
            <v>0</v>
          </cell>
          <cell r="G61" t="str">
            <v>Occ</v>
          </cell>
          <cell r="H61">
            <v>0</v>
          </cell>
          <cell r="I61">
            <v>0</v>
          </cell>
          <cell r="J61">
            <v>0</v>
          </cell>
        </row>
        <row r="62">
          <cell r="C62" t="str">
            <v>04G</v>
          </cell>
          <cell r="D62" t="str">
            <v>Deaf Signer</v>
          </cell>
          <cell r="E62">
            <v>0</v>
          </cell>
          <cell r="F62">
            <v>0</v>
          </cell>
          <cell r="G62" t="str">
            <v>Occ</v>
          </cell>
          <cell r="H62">
            <v>0</v>
          </cell>
          <cell r="I62">
            <v>0</v>
          </cell>
          <cell r="J62">
            <v>0</v>
          </cell>
        </row>
        <row r="63">
          <cell r="C63" t="str">
            <v>04H</v>
          </cell>
          <cell r="D63" t="str">
            <v>Weather Presenter</v>
          </cell>
          <cell r="E63">
            <v>0</v>
          </cell>
          <cell r="F63">
            <v>0</v>
          </cell>
          <cell r="G63" t="str">
            <v>Occ</v>
          </cell>
          <cell r="H63">
            <v>0</v>
          </cell>
          <cell r="I63">
            <v>0</v>
          </cell>
          <cell r="J63">
            <v>0</v>
          </cell>
        </row>
        <row r="64">
          <cell r="C64" t="str">
            <v>04I</v>
          </cell>
          <cell r="D64" t="str">
            <v>Psychologist</v>
          </cell>
          <cell r="E64">
            <v>0</v>
          </cell>
          <cell r="F64">
            <v>0</v>
          </cell>
          <cell r="G64" t="str">
            <v>Occ</v>
          </cell>
          <cell r="H64">
            <v>0</v>
          </cell>
          <cell r="I64">
            <v>0</v>
          </cell>
          <cell r="J64">
            <v>0</v>
          </cell>
        </row>
        <row r="65">
          <cell r="C65" t="str">
            <v>04Sub Total</v>
          </cell>
          <cell r="E65" t="str">
            <v>Sub Total</v>
          </cell>
          <cell r="F65" t="str">
            <v>Occ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</row>
        <row r="66">
          <cell r="C66" t="str">
            <v>Deaf Signer</v>
          </cell>
          <cell r="E66">
            <v>0</v>
          </cell>
          <cell r="F66" t="str">
            <v>Occ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</row>
        <row r="67">
          <cell r="C67" t="str">
            <v>Weather Presenter</v>
          </cell>
          <cell r="E67" t="str">
            <v>Click here to complete detail on 
Personnel Page</v>
          </cell>
          <cell r="F67" t="str">
            <v>Occ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</row>
        <row r="68">
          <cell r="C68" t="str">
            <v>05</v>
          </cell>
          <cell r="D68" t="str">
            <v>Production Unit Salaries</v>
          </cell>
          <cell r="E68">
            <v>0</v>
          </cell>
          <cell r="F68" t="str">
            <v>Occ</v>
          </cell>
          <cell r="G68">
            <v>0</v>
          </cell>
          <cell r="H68">
            <v>0</v>
          </cell>
          <cell r="I68" t="str">
            <v>Per Ep</v>
          </cell>
          <cell r="J68">
            <v>0</v>
          </cell>
        </row>
        <row r="69">
          <cell r="C69" t="str">
            <v>05</v>
          </cell>
          <cell r="D69" t="str">
            <v>Basic Salaries</v>
          </cell>
          <cell r="F69">
            <v>0</v>
          </cell>
          <cell r="G69" t="str">
            <v>Weeks</v>
          </cell>
          <cell r="H69">
            <v>4250</v>
          </cell>
          <cell r="I69">
            <v>0</v>
          </cell>
          <cell r="J69">
            <v>0</v>
          </cell>
        </row>
        <row r="70">
          <cell r="D70" t="str">
            <v>Pension</v>
          </cell>
          <cell r="F70">
            <v>1</v>
          </cell>
          <cell r="G70" t="str">
            <v>Occ</v>
          </cell>
          <cell r="H70">
            <v>0</v>
          </cell>
          <cell r="I70">
            <v>0</v>
          </cell>
          <cell r="J70">
            <v>0</v>
          </cell>
        </row>
        <row r="71">
          <cell r="D71" t="str">
            <v>Holiday</v>
          </cell>
          <cell r="F71">
            <v>1</v>
          </cell>
          <cell r="G71" t="str">
            <v>Occ</v>
          </cell>
          <cell r="H71">
            <v>0</v>
          </cell>
          <cell r="I71">
            <v>0</v>
          </cell>
          <cell r="J71">
            <v>0</v>
          </cell>
        </row>
        <row r="72">
          <cell r="C72" t="str">
            <v>Production Unit Salaries</v>
          </cell>
          <cell r="D72" t="str">
            <v>National Insurance</v>
          </cell>
          <cell r="F72">
            <v>1</v>
          </cell>
          <cell r="G72" t="str">
            <v>Occ</v>
          </cell>
          <cell r="H72">
            <v>0</v>
          </cell>
          <cell r="I72">
            <v>0</v>
          </cell>
          <cell r="J72">
            <v>0</v>
          </cell>
        </row>
        <row r="73">
          <cell r="C73" t="str">
            <v>05Sub Total</v>
          </cell>
          <cell r="E73" t="str">
            <v>Sub Total</v>
          </cell>
          <cell r="I73">
            <v>0</v>
          </cell>
          <cell r="J73">
            <v>0</v>
          </cell>
        </row>
        <row r="74">
          <cell r="C74" t="str">
            <v>Basic Salaries</v>
          </cell>
          <cell r="E74">
            <v>78</v>
          </cell>
          <cell r="F74" t="str">
            <v>Weeks</v>
          </cell>
          <cell r="H74">
            <v>9741.67</v>
          </cell>
          <cell r="I74">
            <v>58450</v>
          </cell>
          <cell r="J74">
            <v>0</v>
          </cell>
        </row>
        <row r="75">
          <cell r="C75" t="str">
            <v>Pension</v>
          </cell>
          <cell r="E75" t="str">
            <v>Click here to complete detail on 
Crew Page</v>
          </cell>
          <cell r="F75" t="str">
            <v>Occ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C76" t="str">
            <v>06</v>
          </cell>
          <cell r="D76" t="str">
            <v>Assistant Directors / Continuity</v>
          </cell>
          <cell r="E76">
            <v>1</v>
          </cell>
          <cell r="F76" t="str">
            <v>Occ</v>
          </cell>
          <cell r="G76">
            <v>5860.4800000000014</v>
          </cell>
          <cell r="H76">
            <v>976.75</v>
          </cell>
          <cell r="I76" t="str">
            <v>Per Ep</v>
          </cell>
          <cell r="J76">
            <v>0</v>
          </cell>
        </row>
        <row r="77">
          <cell r="C77" t="str">
            <v>06A</v>
          </cell>
          <cell r="D77" t="str">
            <v>1st Assistant Director</v>
          </cell>
          <cell r="E77">
            <v>1</v>
          </cell>
          <cell r="F77">
            <v>0</v>
          </cell>
          <cell r="G77" t="str">
            <v>Days</v>
          </cell>
          <cell r="H77">
            <v>721.84</v>
          </cell>
          <cell r="I77">
            <v>0</v>
          </cell>
          <cell r="J77">
            <v>0</v>
          </cell>
        </row>
        <row r="78">
          <cell r="C78" t="str">
            <v>06B</v>
          </cell>
          <cell r="D78" t="str">
            <v>2nd Assistant Director</v>
          </cell>
          <cell r="F78">
            <v>0</v>
          </cell>
          <cell r="G78" t="str">
            <v>Days</v>
          </cell>
          <cell r="H78">
            <v>11440.26</v>
          </cell>
          <cell r="I78">
            <v>0</v>
          </cell>
          <cell r="J78">
            <v>0</v>
          </cell>
        </row>
        <row r="79">
          <cell r="C79" t="str">
            <v>06C</v>
          </cell>
          <cell r="D79" t="str">
            <v>3rd Assistant Director</v>
          </cell>
          <cell r="F79">
            <v>0</v>
          </cell>
          <cell r="G79" t="str">
            <v>Days</v>
          </cell>
          <cell r="I79">
            <v>0</v>
          </cell>
          <cell r="J79">
            <v>0</v>
          </cell>
        </row>
        <row r="80">
          <cell r="C80" t="str">
            <v>06D</v>
          </cell>
          <cell r="D80" t="str">
            <v>Floor Manager</v>
          </cell>
          <cell r="F80">
            <v>0</v>
          </cell>
          <cell r="G80" t="str">
            <v>Days</v>
          </cell>
          <cell r="I80">
            <v>0</v>
          </cell>
          <cell r="J80">
            <v>0</v>
          </cell>
        </row>
        <row r="81">
          <cell r="C81" t="str">
            <v>06E</v>
          </cell>
          <cell r="D81" t="str">
            <v>Assistant Floor Manager</v>
          </cell>
          <cell r="F81">
            <v>0</v>
          </cell>
          <cell r="G81" t="str">
            <v>Days</v>
          </cell>
          <cell r="H81">
            <v>0</v>
          </cell>
          <cell r="I81">
            <v>0</v>
          </cell>
          <cell r="J81">
            <v>0</v>
          </cell>
        </row>
        <row r="82">
          <cell r="C82" t="str">
            <v>06F</v>
          </cell>
          <cell r="D82" t="str">
            <v>Location / Production Runner</v>
          </cell>
          <cell r="F82">
            <v>0</v>
          </cell>
          <cell r="G82" t="str">
            <v>Days</v>
          </cell>
          <cell r="I82">
            <v>0</v>
          </cell>
          <cell r="J82">
            <v>0</v>
          </cell>
        </row>
        <row r="83">
          <cell r="C83" t="str">
            <v>06G</v>
          </cell>
          <cell r="D83" t="str">
            <v>Continuity / Script Supervisor</v>
          </cell>
          <cell r="E83">
            <v>0</v>
          </cell>
          <cell r="F83">
            <v>0</v>
          </cell>
          <cell r="G83" t="str">
            <v>Days</v>
          </cell>
          <cell r="H83">
            <v>0</v>
          </cell>
          <cell r="I83">
            <v>0</v>
          </cell>
          <cell r="J83">
            <v>0</v>
          </cell>
        </row>
        <row r="84">
          <cell r="C84" t="str">
            <v>2nd Assistant Director</v>
          </cell>
          <cell r="D84" t="str">
            <v>National Insurance</v>
          </cell>
          <cell r="E84" t="str">
            <v/>
          </cell>
          <cell r="F84">
            <v>1</v>
          </cell>
          <cell r="G84" t="str">
            <v>Occ</v>
          </cell>
          <cell r="H84">
            <v>0</v>
          </cell>
          <cell r="I84">
            <v>0</v>
          </cell>
          <cell r="J84">
            <v>0</v>
          </cell>
        </row>
        <row r="85">
          <cell r="C85" t="str">
            <v>06Sub Total</v>
          </cell>
          <cell r="E85" t="str">
            <v>Sub Total</v>
          </cell>
          <cell r="F85" t="str">
            <v>Days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</row>
        <row r="86">
          <cell r="C86" t="str">
            <v>Floor Manager</v>
          </cell>
          <cell r="E86">
            <v>0</v>
          </cell>
          <cell r="F86" t="str">
            <v>Days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</row>
        <row r="87">
          <cell r="C87" t="str">
            <v>Assistant Floor Manager</v>
          </cell>
          <cell r="E87" t="str">
            <v>Click here to complete detail on 
Crew Page</v>
          </cell>
          <cell r="F87" t="str">
            <v>Days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</row>
        <row r="88">
          <cell r="C88" t="str">
            <v>07</v>
          </cell>
          <cell r="D88" t="str">
            <v>Crew - Camera</v>
          </cell>
          <cell r="E88">
            <v>0</v>
          </cell>
          <cell r="F88" t="str">
            <v>Days</v>
          </cell>
          <cell r="G88">
            <v>0</v>
          </cell>
          <cell r="H88">
            <v>0</v>
          </cell>
          <cell r="I88" t="str">
            <v>Per Ep</v>
          </cell>
          <cell r="J88">
            <v>0</v>
          </cell>
        </row>
        <row r="89">
          <cell r="C89" t="str">
            <v>07A</v>
          </cell>
          <cell r="D89" t="str">
            <v>Director of Photography</v>
          </cell>
          <cell r="E89">
            <v>0</v>
          </cell>
          <cell r="F89">
            <v>0</v>
          </cell>
          <cell r="G89" t="str">
            <v>Days</v>
          </cell>
          <cell r="H89">
            <v>0</v>
          </cell>
          <cell r="I89">
            <v>0</v>
          </cell>
          <cell r="J89">
            <v>0</v>
          </cell>
        </row>
        <row r="90">
          <cell r="C90" t="str">
            <v>07B</v>
          </cell>
          <cell r="D90" t="str">
            <v>Camera Supervisor</v>
          </cell>
          <cell r="F90">
            <v>0</v>
          </cell>
          <cell r="G90" t="str">
            <v>Days</v>
          </cell>
          <cell r="H90">
            <v>0</v>
          </cell>
          <cell r="I90">
            <v>0</v>
          </cell>
          <cell r="J90">
            <v>0</v>
          </cell>
        </row>
        <row r="91">
          <cell r="C91" t="str">
            <v>07C</v>
          </cell>
          <cell r="D91" t="str">
            <v>Camera Operator</v>
          </cell>
          <cell r="F91">
            <v>0</v>
          </cell>
          <cell r="G91" t="str">
            <v>Days</v>
          </cell>
          <cell r="I91">
            <v>0</v>
          </cell>
          <cell r="J91">
            <v>0</v>
          </cell>
        </row>
        <row r="92">
          <cell r="C92" t="str">
            <v>07D</v>
          </cell>
          <cell r="D92" t="str">
            <v>HD Camera Operator</v>
          </cell>
          <cell r="F92">
            <v>0</v>
          </cell>
          <cell r="G92" t="str">
            <v>Days</v>
          </cell>
          <cell r="I92">
            <v>0</v>
          </cell>
          <cell r="J92">
            <v>0</v>
          </cell>
        </row>
        <row r="93">
          <cell r="C93" t="str">
            <v>07E</v>
          </cell>
          <cell r="D93" t="str">
            <v>Camera Assistant / Trainee</v>
          </cell>
          <cell r="F93">
            <v>0</v>
          </cell>
          <cell r="G93" t="str">
            <v>Days</v>
          </cell>
          <cell r="H93" t="str">
            <v>Ep</v>
          </cell>
          <cell r="I93">
            <v>0</v>
          </cell>
          <cell r="J93">
            <v>0</v>
          </cell>
        </row>
        <row r="94">
          <cell r="C94" t="str">
            <v>07F</v>
          </cell>
          <cell r="D94" t="str">
            <v>Key Grips</v>
          </cell>
          <cell r="F94">
            <v>0</v>
          </cell>
          <cell r="G94" t="str">
            <v>Days</v>
          </cell>
          <cell r="I94">
            <v>0</v>
          </cell>
          <cell r="J94">
            <v>0</v>
          </cell>
        </row>
        <row r="95">
          <cell r="C95" t="str">
            <v>07G</v>
          </cell>
          <cell r="D95" t="str">
            <v>Grips / Assistant Grips</v>
          </cell>
          <cell r="E95">
            <v>0</v>
          </cell>
          <cell r="F95">
            <v>0</v>
          </cell>
          <cell r="G95" t="str">
            <v>Days</v>
          </cell>
          <cell r="H95">
            <v>0</v>
          </cell>
          <cell r="I95">
            <v>0</v>
          </cell>
          <cell r="J95">
            <v>0</v>
          </cell>
        </row>
        <row r="96">
          <cell r="C96" t="str">
            <v>07H</v>
          </cell>
          <cell r="D96" t="str">
            <v>Vision Controller / Supervisor</v>
          </cell>
          <cell r="E96">
            <v>0</v>
          </cell>
          <cell r="F96">
            <v>0</v>
          </cell>
          <cell r="G96" t="str">
            <v>Days</v>
          </cell>
          <cell r="H96">
            <v>0</v>
          </cell>
          <cell r="I96">
            <v>0</v>
          </cell>
          <cell r="J96">
            <v>0</v>
          </cell>
        </row>
        <row r="97">
          <cell r="C97" t="str">
            <v>07I</v>
          </cell>
          <cell r="D97" t="str">
            <v>Vision Mixer</v>
          </cell>
          <cell r="E97">
            <v>1</v>
          </cell>
          <cell r="F97">
            <v>0</v>
          </cell>
          <cell r="G97" t="str">
            <v>Days</v>
          </cell>
          <cell r="H97">
            <v>41.67</v>
          </cell>
          <cell r="I97">
            <v>0</v>
          </cell>
          <cell r="J97">
            <v>0</v>
          </cell>
        </row>
        <row r="98">
          <cell r="C98" t="str">
            <v>07J</v>
          </cell>
          <cell r="D98" t="str">
            <v>Vision Engineer</v>
          </cell>
          <cell r="E98">
            <v>0</v>
          </cell>
          <cell r="F98">
            <v>0</v>
          </cell>
          <cell r="G98" t="str">
            <v>Days</v>
          </cell>
          <cell r="H98">
            <v>0</v>
          </cell>
          <cell r="I98">
            <v>0</v>
          </cell>
          <cell r="J98">
            <v>0</v>
          </cell>
        </row>
        <row r="99">
          <cell r="C99" t="str">
            <v>07K</v>
          </cell>
          <cell r="D99" t="str">
            <v>Focus Puller</v>
          </cell>
          <cell r="E99">
            <v>0</v>
          </cell>
          <cell r="F99">
            <v>0</v>
          </cell>
          <cell r="G99" t="str">
            <v>Days</v>
          </cell>
          <cell r="H99">
            <v>0</v>
          </cell>
          <cell r="I99">
            <v>0</v>
          </cell>
          <cell r="J99">
            <v>0</v>
          </cell>
        </row>
        <row r="100">
          <cell r="C100" t="str">
            <v>07L</v>
          </cell>
          <cell r="D100" t="str">
            <v>Clapper Loader</v>
          </cell>
          <cell r="E100">
            <v>0</v>
          </cell>
          <cell r="F100">
            <v>0</v>
          </cell>
          <cell r="G100" t="str">
            <v>Days</v>
          </cell>
          <cell r="H100">
            <v>0</v>
          </cell>
          <cell r="I100">
            <v>0</v>
          </cell>
          <cell r="J100">
            <v>0</v>
          </cell>
        </row>
        <row r="101">
          <cell r="C101" t="str">
            <v>Grips / Assistant Grips</v>
          </cell>
          <cell r="D101" t="str">
            <v>National Insurance</v>
          </cell>
          <cell r="E101" t="str">
            <v/>
          </cell>
          <cell r="F101">
            <v>1</v>
          </cell>
          <cell r="G101" t="str">
            <v>Occ</v>
          </cell>
          <cell r="H101">
            <v>0</v>
          </cell>
          <cell r="I101">
            <v>0</v>
          </cell>
          <cell r="J101">
            <v>0</v>
          </cell>
        </row>
        <row r="102">
          <cell r="C102" t="str">
            <v>07Sub Total</v>
          </cell>
          <cell r="E102" t="str">
            <v>Sub Total</v>
          </cell>
          <cell r="F102" t="str">
            <v>Days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</row>
        <row r="103">
          <cell r="C103" t="str">
            <v>Vision Mixer</v>
          </cell>
          <cell r="E103">
            <v>0</v>
          </cell>
          <cell r="F103" t="str">
            <v>Days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</row>
        <row r="104">
          <cell r="C104" t="str">
            <v>Vision Engineer</v>
          </cell>
          <cell r="E104" t="str">
            <v>Click here to complete detail on 
Crew Page</v>
          </cell>
          <cell r="F104" t="str">
            <v>Days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</row>
        <row r="105">
          <cell r="C105" t="str">
            <v>08</v>
          </cell>
          <cell r="D105" t="str">
            <v>Crew - Sound</v>
          </cell>
          <cell r="E105">
            <v>0</v>
          </cell>
          <cell r="F105" t="str">
            <v>Days</v>
          </cell>
          <cell r="G105">
            <v>0</v>
          </cell>
          <cell r="H105">
            <v>0</v>
          </cell>
          <cell r="I105" t="str">
            <v>Per Ep</v>
          </cell>
          <cell r="J105">
            <v>0</v>
          </cell>
        </row>
        <row r="106">
          <cell r="C106" t="str">
            <v>08A</v>
          </cell>
          <cell r="D106" t="str">
            <v>Sound Supervisor</v>
          </cell>
          <cell r="E106">
            <v>0</v>
          </cell>
          <cell r="F106">
            <v>0</v>
          </cell>
          <cell r="G106" t="str">
            <v>Days</v>
          </cell>
          <cell r="H106">
            <v>0</v>
          </cell>
          <cell r="I106">
            <v>0</v>
          </cell>
          <cell r="J106">
            <v>0</v>
          </cell>
        </row>
        <row r="107">
          <cell r="C107" t="str">
            <v>08B</v>
          </cell>
          <cell r="D107" t="str">
            <v>Sound Recordist</v>
          </cell>
          <cell r="F107">
            <v>0</v>
          </cell>
          <cell r="G107" t="str">
            <v>Days</v>
          </cell>
          <cell r="H107">
            <v>41.67</v>
          </cell>
          <cell r="I107">
            <v>0</v>
          </cell>
          <cell r="J107">
            <v>0</v>
          </cell>
        </row>
        <row r="108">
          <cell r="C108" t="str">
            <v>08C</v>
          </cell>
          <cell r="D108" t="str">
            <v>HD Sound Recordist</v>
          </cell>
          <cell r="F108">
            <v>0</v>
          </cell>
          <cell r="G108" t="str">
            <v>Days</v>
          </cell>
          <cell r="I108">
            <v>0</v>
          </cell>
          <cell r="J108">
            <v>0</v>
          </cell>
        </row>
        <row r="109">
          <cell r="C109" t="str">
            <v>08D</v>
          </cell>
          <cell r="D109" t="str">
            <v>Sound Assistant</v>
          </cell>
          <cell r="F109">
            <v>0</v>
          </cell>
          <cell r="G109" t="str">
            <v>Days</v>
          </cell>
          <cell r="I109">
            <v>0</v>
          </cell>
          <cell r="J109">
            <v>0</v>
          </cell>
        </row>
        <row r="110">
          <cell r="C110" t="str">
            <v>08E</v>
          </cell>
          <cell r="D110" t="str">
            <v>Sound Technician</v>
          </cell>
          <cell r="F110">
            <v>0</v>
          </cell>
          <cell r="G110" t="str">
            <v>Days</v>
          </cell>
          <cell r="H110">
            <v>0</v>
          </cell>
          <cell r="I110">
            <v>0</v>
          </cell>
          <cell r="J110">
            <v>0</v>
          </cell>
        </row>
        <row r="111">
          <cell r="C111" t="str">
            <v>08F</v>
          </cell>
          <cell r="D111" t="str">
            <v>Boom Op / Sound Maintenance Engineer</v>
          </cell>
          <cell r="F111">
            <v>0</v>
          </cell>
          <cell r="G111" t="str">
            <v>Days</v>
          </cell>
          <cell r="I111">
            <v>0</v>
          </cell>
          <cell r="J111">
            <v>0</v>
          </cell>
        </row>
        <row r="112">
          <cell r="C112" t="str">
            <v>Sound Supervisor</v>
          </cell>
          <cell r="D112" t="str">
            <v>National Insurance</v>
          </cell>
          <cell r="E112" t="str">
            <v/>
          </cell>
          <cell r="F112">
            <v>1</v>
          </cell>
          <cell r="G112" t="str">
            <v>Occ</v>
          </cell>
          <cell r="H112">
            <v>0</v>
          </cell>
          <cell r="I112">
            <v>0</v>
          </cell>
          <cell r="J112">
            <v>0</v>
          </cell>
        </row>
        <row r="113">
          <cell r="C113" t="str">
            <v>08Sub Total</v>
          </cell>
          <cell r="E113" t="str">
            <v>Sub Total</v>
          </cell>
          <cell r="F113" t="str">
            <v>Days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</row>
        <row r="114">
          <cell r="C114" t="str">
            <v>HD Sound Recordist</v>
          </cell>
          <cell r="E114">
            <v>0</v>
          </cell>
          <cell r="F114" t="str">
            <v>Days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C115" t="str">
            <v>Sound Assistant</v>
          </cell>
          <cell r="E115" t="str">
            <v>Click here to complete detail on 
Crew Page</v>
          </cell>
          <cell r="F115" t="str">
            <v>Days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</row>
        <row r="116">
          <cell r="C116" t="str">
            <v>09</v>
          </cell>
          <cell r="D116" t="str">
            <v>Crew - Lighting</v>
          </cell>
          <cell r="E116">
            <v>0</v>
          </cell>
          <cell r="F116" t="str">
            <v>Days</v>
          </cell>
          <cell r="G116">
            <v>0</v>
          </cell>
          <cell r="H116">
            <v>0</v>
          </cell>
          <cell r="I116" t="str">
            <v>Per Ep</v>
          </cell>
          <cell r="J116">
            <v>0</v>
          </cell>
        </row>
        <row r="117">
          <cell r="C117" t="str">
            <v>09A</v>
          </cell>
          <cell r="D117" t="str">
            <v>Lighting Gaffer</v>
          </cell>
          <cell r="E117">
            <v>0</v>
          </cell>
          <cell r="F117">
            <v>0</v>
          </cell>
          <cell r="G117" t="str">
            <v>Days</v>
          </cell>
          <cell r="H117">
            <v>0</v>
          </cell>
          <cell r="I117">
            <v>0</v>
          </cell>
          <cell r="J117">
            <v>0</v>
          </cell>
        </row>
        <row r="118">
          <cell r="C118" t="str">
            <v>09B</v>
          </cell>
          <cell r="D118" t="str">
            <v>Lighting Director</v>
          </cell>
          <cell r="F118">
            <v>0</v>
          </cell>
          <cell r="G118" t="str">
            <v>Days</v>
          </cell>
          <cell r="H118">
            <v>0</v>
          </cell>
          <cell r="I118">
            <v>0</v>
          </cell>
          <cell r="J118">
            <v>0</v>
          </cell>
        </row>
        <row r="119">
          <cell r="C119" t="str">
            <v>09C</v>
          </cell>
          <cell r="D119" t="str">
            <v>Lighting Dailies</v>
          </cell>
          <cell r="F119">
            <v>0</v>
          </cell>
          <cell r="G119" t="str">
            <v>Days</v>
          </cell>
          <cell r="I119">
            <v>0</v>
          </cell>
          <cell r="J119">
            <v>0</v>
          </cell>
        </row>
        <row r="120">
          <cell r="C120" t="str">
            <v>09D</v>
          </cell>
          <cell r="D120" t="str">
            <v>Chargehand Electrician / Best Boy</v>
          </cell>
          <cell r="F120">
            <v>0</v>
          </cell>
          <cell r="G120" t="str">
            <v>Days</v>
          </cell>
          <cell r="I120">
            <v>0</v>
          </cell>
          <cell r="J120">
            <v>0</v>
          </cell>
        </row>
        <row r="121">
          <cell r="C121" t="str">
            <v>09E</v>
          </cell>
          <cell r="D121" t="str">
            <v>Electrician</v>
          </cell>
          <cell r="F121">
            <v>0</v>
          </cell>
          <cell r="G121" t="str">
            <v>Days</v>
          </cell>
          <cell r="H121">
            <v>0</v>
          </cell>
          <cell r="I121">
            <v>0</v>
          </cell>
          <cell r="J121">
            <v>0</v>
          </cell>
        </row>
        <row r="122">
          <cell r="C122" t="str">
            <v>09F</v>
          </cell>
          <cell r="D122" t="str">
            <v>Generator Operator</v>
          </cell>
          <cell r="F122">
            <v>0</v>
          </cell>
          <cell r="G122" t="str">
            <v>Days</v>
          </cell>
          <cell r="I122">
            <v>0</v>
          </cell>
          <cell r="J122">
            <v>0</v>
          </cell>
        </row>
        <row r="123">
          <cell r="C123" t="str">
            <v>09G</v>
          </cell>
          <cell r="D123" t="str">
            <v>Console Operator</v>
          </cell>
          <cell r="E123">
            <v>0</v>
          </cell>
          <cell r="F123">
            <v>0</v>
          </cell>
          <cell r="G123" t="str">
            <v>Days</v>
          </cell>
          <cell r="H123">
            <v>0</v>
          </cell>
          <cell r="I123">
            <v>0</v>
          </cell>
          <cell r="J123">
            <v>0</v>
          </cell>
        </row>
        <row r="124">
          <cell r="C124" t="str">
            <v>09H</v>
          </cell>
          <cell r="D124" t="str">
            <v>Picture Co-Ordinator</v>
          </cell>
          <cell r="E124">
            <v>0</v>
          </cell>
          <cell r="F124">
            <v>0</v>
          </cell>
          <cell r="G124" t="str">
            <v>Days</v>
          </cell>
          <cell r="H124">
            <v>0</v>
          </cell>
          <cell r="I124">
            <v>0</v>
          </cell>
          <cell r="J124">
            <v>0</v>
          </cell>
        </row>
        <row r="125">
          <cell r="C125" t="str">
            <v>Lighting Dailies</v>
          </cell>
          <cell r="D125" t="str">
            <v>National Insurance</v>
          </cell>
          <cell r="E125" t="str">
            <v/>
          </cell>
          <cell r="F125">
            <v>1</v>
          </cell>
          <cell r="G125" t="str">
            <v>Occ</v>
          </cell>
          <cell r="H125">
            <v>0</v>
          </cell>
          <cell r="I125">
            <v>0</v>
          </cell>
          <cell r="J125">
            <v>0</v>
          </cell>
        </row>
        <row r="126">
          <cell r="C126" t="str">
            <v>09Sub Total</v>
          </cell>
          <cell r="E126" t="str">
            <v>Sub Total</v>
          </cell>
          <cell r="F126" t="str">
            <v>Days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C127" t="str">
            <v>Electrician</v>
          </cell>
          <cell r="E127">
            <v>0</v>
          </cell>
          <cell r="F127" t="str">
            <v>Days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</row>
        <row r="128">
          <cell r="C128" t="str">
            <v>Generator Operator</v>
          </cell>
          <cell r="E128" t="str">
            <v>Click here to complete detail on 
Crew Page</v>
          </cell>
          <cell r="F128" t="str">
            <v>Days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</row>
        <row r="129">
          <cell r="C129" t="str">
            <v>10</v>
          </cell>
          <cell r="D129" t="str">
            <v>Crew - Art Department</v>
          </cell>
          <cell r="E129">
            <v>0</v>
          </cell>
          <cell r="F129" t="str">
            <v>Days</v>
          </cell>
          <cell r="G129">
            <v>0</v>
          </cell>
          <cell r="H129">
            <v>0</v>
          </cell>
          <cell r="I129" t="str">
            <v>Per Ep</v>
          </cell>
          <cell r="J129">
            <v>0</v>
          </cell>
        </row>
        <row r="130">
          <cell r="C130" t="str">
            <v>10A</v>
          </cell>
          <cell r="D130" t="str">
            <v>Designer</v>
          </cell>
          <cell r="E130">
            <v>0</v>
          </cell>
          <cell r="F130">
            <v>0</v>
          </cell>
          <cell r="G130" t="str">
            <v>Days</v>
          </cell>
          <cell r="H130">
            <v>0</v>
          </cell>
          <cell r="I130">
            <v>0</v>
          </cell>
          <cell r="J130">
            <v>0</v>
          </cell>
        </row>
        <row r="131">
          <cell r="C131" t="str">
            <v>10B</v>
          </cell>
          <cell r="D131" t="str">
            <v>Art Director</v>
          </cell>
          <cell r="F131">
            <v>0</v>
          </cell>
          <cell r="G131" t="str">
            <v>Days</v>
          </cell>
          <cell r="H131">
            <v>0</v>
          </cell>
          <cell r="I131">
            <v>0</v>
          </cell>
          <cell r="J131">
            <v>0</v>
          </cell>
        </row>
        <row r="132">
          <cell r="C132" t="str">
            <v>10C</v>
          </cell>
          <cell r="D132" t="str">
            <v>Standby Art Director</v>
          </cell>
          <cell r="F132">
            <v>0</v>
          </cell>
          <cell r="G132" t="str">
            <v>Days</v>
          </cell>
          <cell r="I132">
            <v>0</v>
          </cell>
          <cell r="J132">
            <v>0</v>
          </cell>
        </row>
        <row r="133">
          <cell r="C133" t="str">
            <v>10D</v>
          </cell>
          <cell r="D133" t="str">
            <v>Design Assistant</v>
          </cell>
          <cell r="F133">
            <v>0</v>
          </cell>
          <cell r="G133" t="str">
            <v>Days</v>
          </cell>
          <cell r="I133">
            <v>0</v>
          </cell>
          <cell r="J133">
            <v>0</v>
          </cell>
        </row>
        <row r="134">
          <cell r="C134" t="str">
            <v>10E</v>
          </cell>
          <cell r="D134" t="str">
            <v>Design Runner</v>
          </cell>
          <cell r="F134">
            <v>0</v>
          </cell>
          <cell r="G134" t="str">
            <v>Days</v>
          </cell>
          <cell r="H134">
            <v>0</v>
          </cell>
          <cell r="I134">
            <v>0</v>
          </cell>
          <cell r="J134">
            <v>0</v>
          </cell>
        </row>
        <row r="135">
          <cell r="C135" t="str">
            <v>10F</v>
          </cell>
          <cell r="D135" t="str">
            <v>Rigger</v>
          </cell>
          <cell r="F135">
            <v>0</v>
          </cell>
          <cell r="G135" t="str">
            <v>Days</v>
          </cell>
          <cell r="I135">
            <v>0</v>
          </cell>
          <cell r="J135">
            <v>0</v>
          </cell>
        </row>
        <row r="136">
          <cell r="C136" t="str">
            <v>10G</v>
          </cell>
          <cell r="D136" t="str">
            <v>Prop Buyer</v>
          </cell>
          <cell r="E136">
            <v>0</v>
          </cell>
          <cell r="F136">
            <v>0</v>
          </cell>
          <cell r="G136" t="str">
            <v>Days</v>
          </cell>
          <cell r="H136">
            <v>0</v>
          </cell>
          <cell r="I136">
            <v>0</v>
          </cell>
          <cell r="J136">
            <v>0</v>
          </cell>
        </row>
        <row r="137">
          <cell r="C137" t="str">
            <v>10H</v>
          </cell>
          <cell r="D137" t="str">
            <v>Property Master</v>
          </cell>
          <cell r="E137">
            <v>0</v>
          </cell>
          <cell r="F137">
            <v>0</v>
          </cell>
          <cell r="G137" t="str">
            <v>Days</v>
          </cell>
          <cell r="H137">
            <v>0</v>
          </cell>
          <cell r="I137">
            <v>0</v>
          </cell>
          <cell r="J137">
            <v>0</v>
          </cell>
        </row>
        <row r="138">
          <cell r="C138" t="str">
            <v>10I</v>
          </cell>
          <cell r="D138" t="str">
            <v>Props / Set Storekeeper</v>
          </cell>
          <cell r="E138">
            <v>0</v>
          </cell>
          <cell r="F138">
            <v>0</v>
          </cell>
          <cell r="G138" t="str">
            <v>Days</v>
          </cell>
          <cell r="H138">
            <v>0</v>
          </cell>
          <cell r="I138">
            <v>0</v>
          </cell>
          <cell r="J138">
            <v>0</v>
          </cell>
        </row>
        <row r="139">
          <cell r="C139" t="str">
            <v>10J</v>
          </cell>
          <cell r="D139" t="str">
            <v>Dressing Props</v>
          </cell>
          <cell r="E139">
            <v>0</v>
          </cell>
          <cell r="F139">
            <v>0</v>
          </cell>
          <cell r="G139" t="str">
            <v>Days</v>
          </cell>
          <cell r="H139">
            <v>0</v>
          </cell>
          <cell r="I139">
            <v>0</v>
          </cell>
          <cell r="J139">
            <v>0</v>
          </cell>
        </row>
        <row r="140">
          <cell r="C140" t="str">
            <v>10K</v>
          </cell>
          <cell r="D140" t="str">
            <v>Standby Props</v>
          </cell>
          <cell r="E140">
            <v>0</v>
          </cell>
          <cell r="F140">
            <v>0</v>
          </cell>
          <cell r="G140" t="str">
            <v>Days</v>
          </cell>
          <cell r="H140">
            <v>0</v>
          </cell>
          <cell r="I140">
            <v>0</v>
          </cell>
          <cell r="J140">
            <v>0</v>
          </cell>
        </row>
        <row r="141">
          <cell r="C141" t="str">
            <v>10L</v>
          </cell>
          <cell r="D141" t="str">
            <v>Props Dailies</v>
          </cell>
          <cell r="E141">
            <v>0</v>
          </cell>
          <cell r="F141">
            <v>0</v>
          </cell>
          <cell r="G141" t="str">
            <v>Days</v>
          </cell>
          <cell r="H141">
            <v>0</v>
          </cell>
          <cell r="I141">
            <v>0</v>
          </cell>
          <cell r="J141">
            <v>0</v>
          </cell>
        </row>
        <row r="142">
          <cell r="C142" t="str">
            <v>10M</v>
          </cell>
          <cell r="D142" t="str">
            <v>Carpenter</v>
          </cell>
          <cell r="E142">
            <v>0</v>
          </cell>
          <cell r="F142">
            <v>0</v>
          </cell>
          <cell r="G142" t="str">
            <v>Days</v>
          </cell>
          <cell r="H142">
            <v>0</v>
          </cell>
          <cell r="I142">
            <v>0</v>
          </cell>
          <cell r="J142">
            <v>0</v>
          </cell>
        </row>
        <row r="143">
          <cell r="C143" t="str">
            <v>10N</v>
          </cell>
          <cell r="D143" t="str">
            <v>Painter</v>
          </cell>
          <cell r="E143">
            <v>0</v>
          </cell>
          <cell r="F143">
            <v>0</v>
          </cell>
          <cell r="G143" t="str">
            <v>Days</v>
          </cell>
          <cell r="H143">
            <v>0</v>
          </cell>
          <cell r="I143">
            <v>0</v>
          </cell>
          <cell r="J143">
            <v>0</v>
          </cell>
        </row>
        <row r="144">
          <cell r="C144" t="str">
            <v>10O</v>
          </cell>
          <cell r="D144" t="str">
            <v>Construction Manager / Scenic Supervisor</v>
          </cell>
          <cell r="E144">
            <v>0</v>
          </cell>
          <cell r="F144">
            <v>0</v>
          </cell>
          <cell r="G144" t="str">
            <v>Days</v>
          </cell>
          <cell r="H144">
            <v>0</v>
          </cell>
          <cell r="I144">
            <v>0</v>
          </cell>
          <cell r="J144">
            <v>0</v>
          </cell>
        </row>
        <row r="145">
          <cell r="C145" t="str">
            <v>10P</v>
          </cell>
          <cell r="D145" t="str">
            <v>Construction Labour</v>
          </cell>
          <cell r="E145">
            <v>0</v>
          </cell>
          <cell r="F145">
            <v>0</v>
          </cell>
          <cell r="G145" t="str">
            <v>Days</v>
          </cell>
          <cell r="H145">
            <v>0</v>
          </cell>
          <cell r="I145">
            <v>0</v>
          </cell>
          <cell r="J145">
            <v>0</v>
          </cell>
        </row>
        <row r="146">
          <cell r="C146" t="str">
            <v>10Q</v>
          </cell>
          <cell r="D146" t="str">
            <v>Scenic Artist</v>
          </cell>
          <cell r="E146">
            <v>0</v>
          </cell>
          <cell r="F146">
            <v>0</v>
          </cell>
          <cell r="G146" t="str">
            <v>Days</v>
          </cell>
          <cell r="H146">
            <v>0</v>
          </cell>
          <cell r="I146">
            <v>0</v>
          </cell>
          <cell r="J146">
            <v>0</v>
          </cell>
        </row>
        <row r="147">
          <cell r="C147" t="str">
            <v>10R</v>
          </cell>
          <cell r="D147" t="str">
            <v>Signwriter</v>
          </cell>
          <cell r="E147">
            <v>0</v>
          </cell>
          <cell r="F147">
            <v>0</v>
          </cell>
          <cell r="G147" t="str">
            <v>Days</v>
          </cell>
          <cell r="H147">
            <v>0</v>
          </cell>
          <cell r="I147">
            <v>0</v>
          </cell>
          <cell r="J147">
            <v>0</v>
          </cell>
        </row>
        <row r="148">
          <cell r="C148" t="str">
            <v>10S</v>
          </cell>
          <cell r="D148" t="str">
            <v>Stagehand / Chargehand</v>
          </cell>
          <cell r="E148">
            <v>0</v>
          </cell>
          <cell r="F148">
            <v>0</v>
          </cell>
          <cell r="G148" t="str">
            <v>Days</v>
          </cell>
          <cell r="H148">
            <v>0</v>
          </cell>
          <cell r="I148">
            <v>0</v>
          </cell>
          <cell r="J148">
            <v>0</v>
          </cell>
        </row>
        <row r="149">
          <cell r="C149" t="str">
            <v>10T</v>
          </cell>
          <cell r="D149" t="str">
            <v>Drapesman</v>
          </cell>
          <cell r="E149">
            <v>0</v>
          </cell>
          <cell r="F149">
            <v>0</v>
          </cell>
          <cell r="G149" t="str">
            <v>Days</v>
          </cell>
          <cell r="H149">
            <v>0</v>
          </cell>
          <cell r="I149">
            <v>0</v>
          </cell>
          <cell r="J149">
            <v>0</v>
          </cell>
        </row>
        <row r="150">
          <cell r="C150" t="str">
            <v>10U</v>
          </cell>
          <cell r="D150" t="str">
            <v>Safety Co-Ordinator</v>
          </cell>
          <cell r="E150">
            <v>0</v>
          </cell>
          <cell r="F150">
            <v>0</v>
          </cell>
          <cell r="G150" t="str">
            <v>Days</v>
          </cell>
          <cell r="H150">
            <v>0</v>
          </cell>
          <cell r="I150">
            <v>0</v>
          </cell>
          <cell r="J150">
            <v>0</v>
          </cell>
        </row>
        <row r="151">
          <cell r="C151" t="str">
            <v>10V</v>
          </cell>
          <cell r="D151" t="str">
            <v>Plumber</v>
          </cell>
          <cell r="E151">
            <v>0</v>
          </cell>
          <cell r="F151">
            <v>0</v>
          </cell>
          <cell r="G151" t="str">
            <v>Days</v>
          </cell>
          <cell r="H151">
            <v>0</v>
          </cell>
          <cell r="I151">
            <v>0</v>
          </cell>
          <cell r="J151">
            <v>0</v>
          </cell>
        </row>
        <row r="152">
          <cell r="C152" t="str">
            <v>10W</v>
          </cell>
          <cell r="D152" t="str">
            <v>Environmental Conservation</v>
          </cell>
          <cell r="E152">
            <v>0</v>
          </cell>
          <cell r="F152">
            <v>0</v>
          </cell>
          <cell r="G152" t="str">
            <v>Days</v>
          </cell>
          <cell r="H152">
            <v>0</v>
          </cell>
          <cell r="I152">
            <v>0</v>
          </cell>
          <cell r="J152">
            <v>0</v>
          </cell>
        </row>
        <row r="153">
          <cell r="C153" t="str">
            <v>Signwriter</v>
          </cell>
          <cell r="D153" t="str">
            <v>National Insurance</v>
          </cell>
          <cell r="E153" t="str">
            <v/>
          </cell>
          <cell r="F153">
            <v>1</v>
          </cell>
          <cell r="G153" t="str">
            <v>Occ</v>
          </cell>
          <cell r="H153">
            <v>0</v>
          </cell>
          <cell r="I153">
            <v>0</v>
          </cell>
          <cell r="J153">
            <v>0</v>
          </cell>
        </row>
        <row r="154">
          <cell r="C154" t="str">
            <v>10Sub Total</v>
          </cell>
          <cell r="E154" t="str">
            <v>Sub Total</v>
          </cell>
          <cell r="F154" t="str">
            <v>Days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</row>
        <row r="155">
          <cell r="C155" t="str">
            <v>Drapesman</v>
          </cell>
          <cell r="E155">
            <v>0</v>
          </cell>
          <cell r="F155" t="str">
            <v>Days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</row>
        <row r="156">
          <cell r="C156" t="str">
            <v>Safety Co-Ordinator</v>
          </cell>
          <cell r="E156" t="str">
            <v>Click here to complete detail on 
Crew Page</v>
          </cell>
          <cell r="F156" t="str">
            <v>Days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</row>
        <row r="157">
          <cell r="C157" t="str">
            <v>11</v>
          </cell>
          <cell r="D157" t="str">
            <v>Crew - Wardrobe / Make-Up / Hair</v>
          </cell>
          <cell r="E157">
            <v>0</v>
          </cell>
          <cell r="F157" t="str">
            <v>Days</v>
          </cell>
          <cell r="G157">
            <v>0</v>
          </cell>
          <cell r="H157">
            <v>0</v>
          </cell>
          <cell r="I157" t="str">
            <v>Per Ep</v>
          </cell>
          <cell r="J157">
            <v>0</v>
          </cell>
        </row>
        <row r="158">
          <cell r="C158" t="str">
            <v>11A</v>
          </cell>
          <cell r="D158" t="str">
            <v>Costume Designer</v>
          </cell>
          <cell r="E158">
            <v>0</v>
          </cell>
          <cell r="F158">
            <v>0</v>
          </cell>
          <cell r="G158" t="str">
            <v>Days</v>
          </cell>
          <cell r="H158">
            <v>0</v>
          </cell>
          <cell r="I158">
            <v>0</v>
          </cell>
          <cell r="J158">
            <v>0</v>
          </cell>
        </row>
        <row r="159">
          <cell r="C159" t="str">
            <v>11B</v>
          </cell>
          <cell r="D159" t="str">
            <v>Costume Supervisor</v>
          </cell>
          <cell r="F159">
            <v>0</v>
          </cell>
          <cell r="G159" t="str">
            <v>Days</v>
          </cell>
          <cell r="H159">
            <v>0</v>
          </cell>
          <cell r="I159">
            <v>0</v>
          </cell>
          <cell r="J159">
            <v>0</v>
          </cell>
        </row>
        <row r="160">
          <cell r="C160" t="str">
            <v>11C</v>
          </cell>
          <cell r="D160" t="str">
            <v>Assistant Costume Designer</v>
          </cell>
          <cell r="F160">
            <v>0</v>
          </cell>
          <cell r="G160" t="str">
            <v>Days</v>
          </cell>
          <cell r="I160">
            <v>0</v>
          </cell>
          <cell r="J160">
            <v>0</v>
          </cell>
        </row>
        <row r="161">
          <cell r="C161" t="str">
            <v>11D</v>
          </cell>
          <cell r="D161" t="str">
            <v>Costume Assistant</v>
          </cell>
          <cell r="F161">
            <v>0</v>
          </cell>
          <cell r="G161" t="str">
            <v>Days</v>
          </cell>
          <cell r="I161">
            <v>0</v>
          </cell>
          <cell r="J161">
            <v>0</v>
          </cell>
        </row>
        <row r="162">
          <cell r="C162" t="str">
            <v>11E</v>
          </cell>
          <cell r="D162" t="str">
            <v>Costume Dailies</v>
          </cell>
          <cell r="F162">
            <v>0</v>
          </cell>
          <cell r="G162" t="str">
            <v>Days</v>
          </cell>
          <cell r="H162">
            <v>0</v>
          </cell>
          <cell r="I162">
            <v>0</v>
          </cell>
          <cell r="J162">
            <v>0</v>
          </cell>
        </row>
        <row r="163">
          <cell r="C163" t="str">
            <v>11F</v>
          </cell>
          <cell r="D163" t="str">
            <v>Dresser</v>
          </cell>
          <cell r="F163">
            <v>0</v>
          </cell>
          <cell r="G163" t="str">
            <v>Days</v>
          </cell>
          <cell r="I163">
            <v>0</v>
          </cell>
          <cell r="J163">
            <v>0</v>
          </cell>
        </row>
        <row r="164">
          <cell r="C164" t="str">
            <v>11G</v>
          </cell>
          <cell r="D164" t="str">
            <v>Make-Up Designer</v>
          </cell>
          <cell r="E164">
            <v>0</v>
          </cell>
          <cell r="F164">
            <v>0</v>
          </cell>
          <cell r="G164" t="str">
            <v>Days</v>
          </cell>
          <cell r="H164">
            <v>0</v>
          </cell>
          <cell r="I164">
            <v>0</v>
          </cell>
          <cell r="J164">
            <v>0</v>
          </cell>
        </row>
        <row r="165">
          <cell r="C165" t="str">
            <v>11H</v>
          </cell>
          <cell r="D165" t="str">
            <v>Make-Up Supervisor</v>
          </cell>
          <cell r="E165">
            <v>0</v>
          </cell>
          <cell r="F165">
            <v>0</v>
          </cell>
          <cell r="G165" t="str">
            <v>Days</v>
          </cell>
          <cell r="H165">
            <v>0</v>
          </cell>
          <cell r="I165">
            <v>0</v>
          </cell>
          <cell r="J165">
            <v>0</v>
          </cell>
        </row>
        <row r="166">
          <cell r="C166" t="str">
            <v>11I</v>
          </cell>
          <cell r="D166" t="str">
            <v>Make-Up Artist</v>
          </cell>
          <cell r="E166">
            <v>0</v>
          </cell>
          <cell r="F166">
            <v>0</v>
          </cell>
          <cell r="G166" t="str">
            <v>Days</v>
          </cell>
          <cell r="H166">
            <v>0</v>
          </cell>
          <cell r="I166">
            <v>0</v>
          </cell>
          <cell r="J166">
            <v>0</v>
          </cell>
        </row>
        <row r="167">
          <cell r="C167" t="str">
            <v>11J</v>
          </cell>
          <cell r="D167" t="str">
            <v>Make-Up Assistant</v>
          </cell>
          <cell r="E167">
            <v>0</v>
          </cell>
          <cell r="F167">
            <v>0</v>
          </cell>
          <cell r="G167" t="str">
            <v>Days</v>
          </cell>
          <cell r="H167">
            <v>0</v>
          </cell>
          <cell r="I167">
            <v>0</v>
          </cell>
          <cell r="J167">
            <v>0</v>
          </cell>
        </row>
        <row r="168">
          <cell r="C168" t="str">
            <v>11K</v>
          </cell>
          <cell r="D168" t="str">
            <v>Make-Up Daillies</v>
          </cell>
          <cell r="E168">
            <v>0</v>
          </cell>
          <cell r="F168">
            <v>0</v>
          </cell>
          <cell r="G168" t="str">
            <v>Days</v>
          </cell>
          <cell r="H168">
            <v>0</v>
          </cell>
          <cell r="I168">
            <v>0</v>
          </cell>
          <cell r="J168">
            <v>0</v>
          </cell>
        </row>
        <row r="169">
          <cell r="C169" t="str">
            <v>11L</v>
          </cell>
          <cell r="D169" t="str">
            <v>Hairdresser</v>
          </cell>
          <cell r="E169">
            <v>0</v>
          </cell>
          <cell r="F169">
            <v>0</v>
          </cell>
          <cell r="G169" t="str">
            <v>Days</v>
          </cell>
          <cell r="H169">
            <v>0</v>
          </cell>
          <cell r="I169">
            <v>0</v>
          </cell>
          <cell r="J169">
            <v>0</v>
          </cell>
        </row>
        <row r="170">
          <cell r="C170" t="str">
            <v>Make-Up Designer</v>
          </cell>
          <cell r="D170" t="str">
            <v>National Insurance</v>
          </cell>
          <cell r="E170" t="str">
            <v/>
          </cell>
          <cell r="F170">
            <v>1</v>
          </cell>
          <cell r="G170" t="str">
            <v>Occ</v>
          </cell>
          <cell r="H170">
            <v>0</v>
          </cell>
          <cell r="I170">
            <v>0</v>
          </cell>
          <cell r="J170">
            <v>0</v>
          </cell>
        </row>
        <row r="171">
          <cell r="C171" t="str">
            <v>11Sub Total</v>
          </cell>
          <cell r="E171" t="str">
            <v>Sub Total</v>
          </cell>
          <cell r="F171" t="str">
            <v>Days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</row>
        <row r="172">
          <cell r="C172" t="str">
            <v>Make-Up Artist</v>
          </cell>
          <cell r="E172">
            <v>0</v>
          </cell>
          <cell r="F172" t="str">
            <v>Days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</row>
        <row r="173">
          <cell r="C173" t="str">
            <v>Make-Up Assistant</v>
          </cell>
          <cell r="E173" t="str">
            <v>Click here to complete detail on 
Crew Page</v>
          </cell>
          <cell r="F173" t="str">
            <v>Days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</row>
        <row r="174">
          <cell r="C174" t="str">
            <v>12</v>
          </cell>
          <cell r="D174" t="str">
            <v>Crew - Animation</v>
          </cell>
          <cell r="E174">
            <v>0</v>
          </cell>
          <cell r="F174" t="str">
            <v>Days</v>
          </cell>
          <cell r="G174">
            <v>0</v>
          </cell>
          <cell r="H174">
            <v>0</v>
          </cell>
          <cell r="I174" t="str">
            <v>Per Ep</v>
          </cell>
          <cell r="J174">
            <v>0</v>
          </cell>
        </row>
        <row r="175">
          <cell r="C175" t="str">
            <v>12A</v>
          </cell>
          <cell r="D175" t="str">
            <v>Model Animators</v>
          </cell>
          <cell r="E175">
            <v>0</v>
          </cell>
          <cell r="F175">
            <v>0</v>
          </cell>
          <cell r="G175" t="str">
            <v>Days</v>
          </cell>
          <cell r="H175">
            <v>0</v>
          </cell>
          <cell r="I175">
            <v>0</v>
          </cell>
          <cell r="J175">
            <v>0</v>
          </cell>
        </row>
        <row r="176">
          <cell r="C176" t="str">
            <v>12B</v>
          </cell>
          <cell r="D176" t="str">
            <v>Flash Animators / 2D Animators</v>
          </cell>
          <cell r="F176">
            <v>0</v>
          </cell>
          <cell r="G176" t="str">
            <v>Days</v>
          </cell>
          <cell r="H176">
            <v>0</v>
          </cell>
          <cell r="I176">
            <v>0</v>
          </cell>
          <cell r="J176">
            <v>0</v>
          </cell>
        </row>
        <row r="177">
          <cell r="C177" t="str">
            <v>12C</v>
          </cell>
          <cell r="D177" t="str">
            <v>CGI / 3D Animators</v>
          </cell>
          <cell r="F177">
            <v>0</v>
          </cell>
          <cell r="G177" t="str">
            <v>Days</v>
          </cell>
          <cell r="I177">
            <v>0</v>
          </cell>
          <cell r="J177">
            <v>0</v>
          </cell>
        </row>
        <row r="178">
          <cell r="C178" t="str">
            <v>12D</v>
          </cell>
          <cell r="D178" t="str">
            <v>Drawn Animators</v>
          </cell>
          <cell r="F178">
            <v>0</v>
          </cell>
          <cell r="G178" t="str">
            <v>Days</v>
          </cell>
          <cell r="I178">
            <v>0</v>
          </cell>
          <cell r="J178">
            <v>0</v>
          </cell>
        </row>
        <row r="179">
          <cell r="C179" t="str">
            <v>12E</v>
          </cell>
          <cell r="D179" t="str">
            <v>Overseas Animation</v>
          </cell>
          <cell r="F179">
            <v>0</v>
          </cell>
          <cell r="G179" t="str">
            <v>Days</v>
          </cell>
          <cell r="H179">
            <v>0</v>
          </cell>
          <cell r="I179">
            <v>0</v>
          </cell>
          <cell r="J179">
            <v>0</v>
          </cell>
        </row>
        <row r="180">
          <cell r="C180" t="str">
            <v>12F</v>
          </cell>
          <cell r="D180" t="str">
            <v>Overseas Supervisor</v>
          </cell>
          <cell r="F180">
            <v>0</v>
          </cell>
          <cell r="G180" t="str">
            <v>Days</v>
          </cell>
          <cell r="I180">
            <v>0</v>
          </cell>
          <cell r="J180">
            <v>0</v>
          </cell>
        </row>
        <row r="181">
          <cell r="C181" t="str">
            <v>Model Animators</v>
          </cell>
          <cell r="D181" t="str">
            <v>National Insurance</v>
          </cell>
          <cell r="E181" t="str">
            <v/>
          </cell>
          <cell r="F181">
            <v>1</v>
          </cell>
          <cell r="G181" t="str">
            <v>Occ</v>
          </cell>
          <cell r="H181">
            <v>0</v>
          </cell>
          <cell r="I181">
            <v>0</v>
          </cell>
          <cell r="J181">
            <v>0</v>
          </cell>
        </row>
        <row r="182">
          <cell r="C182" t="str">
            <v>12Sub Total</v>
          </cell>
          <cell r="E182" t="str">
            <v>Sub Total</v>
          </cell>
          <cell r="F182" t="str">
            <v>Days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</row>
        <row r="183">
          <cell r="C183" t="str">
            <v>CGI / 3D Animators</v>
          </cell>
          <cell r="E183">
            <v>0</v>
          </cell>
          <cell r="F183" t="str">
            <v>Days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</row>
        <row r="184">
          <cell r="C184" t="str">
            <v>Drawn Animators</v>
          </cell>
          <cell r="E184" t="str">
            <v>Click here to complete detail on 
Crew Page</v>
          </cell>
          <cell r="F184" t="str">
            <v>Days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</row>
        <row r="185">
          <cell r="C185" t="str">
            <v>13</v>
          </cell>
          <cell r="D185" t="str">
            <v>Crew - Edit</v>
          </cell>
          <cell r="E185">
            <v>0</v>
          </cell>
          <cell r="F185" t="str">
            <v>Days</v>
          </cell>
          <cell r="G185">
            <v>0</v>
          </cell>
          <cell r="H185">
            <v>0</v>
          </cell>
          <cell r="I185" t="str">
            <v>Per Ep</v>
          </cell>
          <cell r="J185">
            <v>0</v>
          </cell>
        </row>
        <row r="186">
          <cell r="C186" t="str">
            <v>13A</v>
          </cell>
          <cell r="D186" t="str">
            <v>Post Production Supervisor</v>
          </cell>
          <cell r="E186">
            <v>0</v>
          </cell>
          <cell r="F186">
            <v>0</v>
          </cell>
          <cell r="G186" t="str">
            <v>Days</v>
          </cell>
          <cell r="H186">
            <v>0</v>
          </cell>
          <cell r="I186">
            <v>0</v>
          </cell>
          <cell r="J186">
            <v>0</v>
          </cell>
        </row>
        <row r="187">
          <cell r="C187" t="str">
            <v>13B</v>
          </cell>
          <cell r="D187" t="str">
            <v>Editor</v>
          </cell>
          <cell r="F187">
            <v>0</v>
          </cell>
          <cell r="G187" t="str">
            <v>Days</v>
          </cell>
          <cell r="H187">
            <v>0</v>
          </cell>
          <cell r="I187">
            <v>0</v>
          </cell>
          <cell r="J187">
            <v>0</v>
          </cell>
        </row>
        <row r="188">
          <cell r="C188" t="str">
            <v>13C</v>
          </cell>
          <cell r="D188" t="str">
            <v>Editor Overtime</v>
          </cell>
          <cell r="F188">
            <v>0</v>
          </cell>
          <cell r="G188" t="str">
            <v>Days</v>
          </cell>
          <cell r="I188">
            <v>0</v>
          </cell>
          <cell r="J188">
            <v>0</v>
          </cell>
        </row>
        <row r="189">
          <cell r="C189" t="str">
            <v>13D</v>
          </cell>
          <cell r="D189" t="str">
            <v>Assistant Editor</v>
          </cell>
          <cell r="F189">
            <v>0</v>
          </cell>
          <cell r="G189" t="str">
            <v>Days</v>
          </cell>
          <cell r="I189">
            <v>0</v>
          </cell>
          <cell r="J189">
            <v>0</v>
          </cell>
        </row>
        <row r="190">
          <cell r="C190" t="str">
            <v>13E</v>
          </cell>
          <cell r="D190" t="str">
            <v>VT Editor</v>
          </cell>
          <cell r="F190">
            <v>0</v>
          </cell>
          <cell r="G190" t="str">
            <v>Days</v>
          </cell>
          <cell r="H190" t="str">
            <v>Ep</v>
          </cell>
          <cell r="I190">
            <v>0</v>
          </cell>
          <cell r="J190">
            <v>0</v>
          </cell>
        </row>
        <row r="191">
          <cell r="C191" t="str">
            <v>13F</v>
          </cell>
          <cell r="D191" t="str">
            <v>Dubbing Editor</v>
          </cell>
          <cell r="F191">
            <v>0</v>
          </cell>
          <cell r="G191" t="str">
            <v>Days</v>
          </cell>
          <cell r="I191">
            <v>0</v>
          </cell>
          <cell r="J191">
            <v>0</v>
          </cell>
        </row>
        <row r="192">
          <cell r="C192" t="str">
            <v>13G</v>
          </cell>
          <cell r="D192" t="str">
            <v>Dubbing Assistant</v>
          </cell>
          <cell r="E192">
            <v>0</v>
          </cell>
          <cell r="F192">
            <v>0</v>
          </cell>
          <cell r="G192" t="str">
            <v>Days</v>
          </cell>
          <cell r="H192">
            <v>0</v>
          </cell>
          <cell r="I192">
            <v>0</v>
          </cell>
          <cell r="J192">
            <v>0</v>
          </cell>
        </row>
        <row r="193">
          <cell r="C193" t="str">
            <v>13H</v>
          </cell>
          <cell r="D193" t="str">
            <v>Dubbing Mixer</v>
          </cell>
          <cell r="E193">
            <v>90</v>
          </cell>
          <cell r="F193">
            <v>0</v>
          </cell>
          <cell r="G193" t="str">
            <v>Days</v>
          </cell>
          <cell r="H193">
            <v>4050</v>
          </cell>
          <cell r="I193">
            <v>0</v>
          </cell>
          <cell r="J193">
            <v>0</v>
          </cell>
        </row>
        <row r="194">
          <cell r="C194" t="str">
            <v>13I</v>
          </cell>
          <cell r="D194" t="str">
            <v>Post Production Assistant / Runner</v>
          </cell>
          <cell r="E194">
            <v>0</v>
          </cell>
          <cell r="F194">
            <v>0</v>
          </cell>
          <cell r="G194" t="str">
            <v>Days</v>
          </cell>
          <cell r="H194">
            <v>0</v>
          </cell>
          <cell r="I194">
            <v>0</v>
          </cell>
          <cell r="J194">
            <v>0</v>
          </cell>
        </row>
        <row r="195">
          <cell r="C195" t="str">
            <v>13J</v>
          </cell>
          <cell r="D195" t="str">
            <v>Transfer Assistant</v>
          </cell>
          <cell r="E195">
            <v>0</v>
          </cell>
          <cell r="F195">
            <v>0</v>
          </cell>
          <cell r="G195" t="str">
            <v>Days</v>
          </cell>
          <cell r="H195">
            <v>0</v>
          </cell>
          <cell r="I195">
            <v>0</v>
          </cell>
          <cell r="J195">
            <v>0</v>
          </cell>
        </row>
        <row r="196">
          <cell r="C196" t="str">
            <v>13K</v>
          </cell>
          <cell r="D196" t="str">
            <v>Telecine Engineer</v>
          </cell>
          <cell r="E196">
            <v>0</v>
          </cell>
          <cell r="F196">
            <v>0</v>
          </cell>
          <cell r="G196" t="str">
            <v>Days</v>
          </cell>
          <cell r="H196">
            <v>0</v>
          </cell>
          <cell r="I196">
            <v>0</v>
          </cell>
          <cell r="J196">
            <v>0</v>
          </cell>
        </row>
        <row r="197">
          <cell r="C197" t="str">
            <v>13L</v>
          </cell>
          <cell r="D197" t="str">
            <v>Captions Operator</v>
          </cell>
          <cell r="E197">
            <v>0</v>
          </cell>
          <cell r="F197">
            <v>0</v>
          </cell>
          <cell r="G197" t="str">
            <v>Days</v>
          </cell>
          <cell r="H197">
            <v>0</v>
          </cell>
          <cell r="I197">
            <v>0</v>
          </cell>
          <cell r="J197">
            <v>0</v>
          </cell>
        </row>
        <row r="198">
          <cell r="C198" t="str">
            <v>Dubbing Assistant</v>
          </cell>
          <cell r="D198" t="str">
            <v>National Insurance</v>
          </cell>
          <cell r="E198" t="str">
            <v/>
          </cell>
          <cell r="F198">
            <v>1</v>
          </cell>
          <cell r="G198" t="str">
            <v>Occ</v>
          </cell>
          <cell r="H198">
            <v>0</v>
          </cell>
          <cell r="I198">
            <v>0</v>
          </cell>
          <cell r="J198">
            <v>0</v>
          </cell>
        </row>
        <row r="199">
          <cell r="C199" t="str">
            <v>13Sub Total</v>
          </cell>
          <cell r="E199" t="str">
            <v>Sub Total</v>
          </cell>
          <cell r="F199" t="str">
            <v>Days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</row>
        <row r="200">
          <cell r="C200" t="str">
            <v>Post Production Assistant / Runner</v>
          </cell>
          <cell r="E200">
            <v>0</v>
          </cell>
          <cell r="F200" t="str">
            <v>Days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</row>
        <row r="201">
          <cell r="C201" t="str">
            <v>Transfer Assistant</v>
          </cell>
          <cell r="E201">
            <v>0</v>
          </cell>
          <cell r="F201" t="str">
            <v>Days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</row>
        <row r="202">
          <cell r="C202" t="str">
            <v>14</v>
          </cell>
          <cell r="D202" t="str">
            <v>Materials - Art Department</v>
          </cell>
          <cell r="E202">
            <v>0</v>
          </cell>
          <cell r="F202" t="str">
            <v>Days</v>
          </cell>
          <cell r="G202">
            <v>0</v>
          </cell>
          <cell r="H202">
            <v>0</v>
          </cell>
          <cell r="I202" t="str">
            <v>Per Ep</v>
          </cell>
          <cell r="J202">
            <v>0</v>
          </cell>
        </row>
        <row r="203">
          <cell r="C203" t="str">
            <v>Captions Operator</v>
          </cell>
          <cell r="E203">
            <v>0</v>
          </cell>
          <cell r="F203" t="str">
            <v>Days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</row>
        <row r="204">
          <cell r="C204" t="str">
            <v>14A</v>
          </cell>
          <cell r="D204" t="str">
            <v>Sets and Scenery</v>
          </cell>
          <cell r="F204">
            <v>0</v>
          </cell>
          <cell r="G204" t="str">
            <v>Occ</v>
          </cell>
          <cell r="H204">
            <v>0</v>
          </cell>
          <cell r="I204">
            <v>0</v>
          </cell>
          <cell r="J204">
            <v>0</v>
          </cell>
        </row>
        <row r="205">
          <cell r="C205" t="str">
            <v>14B</v>
          </cell>
          <cell r="D205" t="str">
            <v>Props Purchased</v>
          </cell>
          <cell r="F205">
            <v>0</v>
          </cell>
          <cell r="G205" t="str">
            <v>Occ</v>
          </cell>
          <cell r="H205">
            <v>0</v>
          </cell>
          <cell r="I205">
            <v>0</v>
          </cell>
          <cell r="J205">
            <v>0</v>
          </cell>
        </row>
        <row r="206">
          <cell r="C206" t="str">
            <v>14C</v>
          </cell>
          <cell r="D206" t="str">
            <v>Props Hired</v>
          </cell>
          <cell r="F206">
            <v>0</v>
          </cell>
          <cell r="G206" t="str">
            <v>Occ</v>
          </cell>
          <cell r="H206">
            <v>0</v>
          </cell>
          <cell r="I206">
            <v>0</v>
          </cell>
          <cell r="J206">
            <v>0</v>
          </cell>
        </row>
        <row r="207">
          <cell r="C207" t="str">
            <v>14D</v>
          </cell>
          <cell r="D207" t="str">
            <v>Sets and Props Storage</v>
          </cell>
          <cell r="F207">
            <v>0</v>
          </cell>
          <cell r="G207" t="str">
            <v>Occ</v>
          </cell>
          <cell r="H207">
            <v>0</v>
          </cell>
          <cell r="I207">
            <v>0</v>
          </cell>
          <cell r="J207">
            <v>0</v>
          </cell>
        </row>
        <row r="208">
          <cell r="C208" t="str">
            <v>14E</v>
          </cell>
          <cell r="D208" t="str">
            <v>Sets and Props Transport</v>
          </cell>
          <cell r="F208">
            <v>0</v>
          </cell>
          <cell r="G208" t="str">
            <v>Occ</v>
          </cell>
          <cell r="H208">
            <v>0</v>
          </cell>
          <cell r="I208">
            <v>0</v>
          </cell>
          <cell r="J208">
            <v>0</v>
          </cell>
        </row>
        <row r="209">
          <cell r="C209" t="str">
            <v>14F</v>
          </cell>
          <cell r="D209" t="str">
            <v>Action Vehicles</v>
          </cell>
          <cell r="E209">
            <v>0</v>
          </cell>
          <cell r="F209">
            <v>0</v>
          </cell>
          <cell r="G209" t="str">
            <v>Occ</v>
          </cell>
          <cell r="H209">
            <v>0</v>
          </cell>
          <cell r="I209">
            <v>0</v>
          </cell>
          <cell r="J209">
            <v>0</v>
          </cell>
        </row>
        <row r="210">
          <cell r="C210" t="str">
            <v>14G</v>
          </cell>
          <cell r="D210" t="str">
            <v>Special Effects - Materials - Art Dept</v>
          </cell>
          <cell r="E210">
            <v>0</v>
          </cell>
          <cell r="F210">
            <v>0</v>
          </cell>
          <cell r="G210" t="str">
            <v>Occ</v>
          </cell>
          <cell r="H210">
            <v>0</v>
          </cell>
          <cell r="I210">
            <v>0</v>
          </cell>
          <cell r="J210">
            <v>0</v>
          </cell>
        </row>
        <row r="211">
          <cell r="C211" t="str">
            <v>14H</v>
          </cell>
          <cell r="D211" t="str">
            <v>Star Cloth</v>
          </cell>
          <cell r="E211">
            <v>0</v>
          </cell>
          <cell r="F211">
            <v>0</v>
          </cell>
          <cell r="G211" t="str">
            <v>Occ</v>
          </cell>
          <cell r="H211">
            <v>0</v>
          </cell>
          <cell r="I211">
            <v>0</v>
          </cell>
          <cell r="J211">
            <v>0</v>
          </cell>
        </row>
        <row r="212">
          <cell r="C212" t="str">
            <v>14I</v>
          </cell>
          <cell r="D212" t="str">
            <v>Scoring Equipment</v>
          </cell>
          <cell r="E212">
            <v>0</v>
          </cell>
          <cell r="F212">
            <v>0</v>
          </cell>
          <cell r="G212" t="str">
            <v>Occ</v>
          </cell>
          <cell r="H212">
            <v>0</v>
          </cell>
          <cell r="I212">
            <v>0</v>
          </cell>
          <cell r="J212">
            <v>0</v>
          </cell>
        </row>
        <row r="213">
          <cell r="C213" t="str">
            <v>14J</v>
          </cell>
          <cell r="D213" t="str">
            <v>Art Department Consumables</v>
          </cell>
          <cell r="E213">
            <v>0</v>
          </cell>
          <cell r="F213">
            <v>0</v>
          </cell>
          <cell r="G213" t="str">
            <v>Occ</v>
          </cell>
          <cell r="H213">
            <v>0</v>
          </cell>
          <cell r="I213">
            <v>0</v>
          </cell>
          <cell r="J213">
            <v>0</v>
          </cell>
        </row>
        <row r="214">
          <cell r="C214" t="str">
            <v>14K</v>
          </cell>
          <cell r="D214" t="str">
            <v>Animals and Handlers</v>
          </cell>
          <cell r="E214">
            <v>0</v>
          </cell>
          <cell r="F214">
            <v>0</v>
          </cell>
          <cell r="G214" t="str">
            <v>Occ</v>
          </cell>
          <cell r="H214">
            <v>0</v>
          </cell>
          <cell r="I214">
            <v>0</v>
          </cell>
          <cell r="J214">
            <v>0</v>
          </cell>
        </row>
        <row r="215">
          <cell r="C215" t="str">
            <v>14Sub Total</v>
          </cell>
          <cell r="E215" t="str">
            <v>Sub Total</v>
          </cell>
          <cell r="F215" t="str">
            <v>Occ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</row>
        <row r="216">
          <cell r="C216" t="str">
            <v>Star Cloth</v>
          </cell>
          <cell r="E216">
            <v>0</v>
          </cell>
          <cell r="F216" t="str">
            <v>Occ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</row>
        <row r="217">
          <cell r="C217" t="str">
            <v>Scoring Equipment</v>
          </cell>
          <cell r="E217">
            <v>0</v>
          </cell>
          <cell r="F217" t="str">
            <v>Occ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</row>
        <row r="218">
          <cell r="C218" t="str">
            <v>15</v>
          </cell>
          <cell r="D218" t="str">
            <v>Materials - Wardrobe / Make-Up / Hair</v>
          </cell>
          <cell r="E218">
            <v>0</v>
          </cell>
          <cell r="F218" t="str">
            <v>Occ</v>
          </cell>
          <cell r="G218">
            <v>0</v>
          </cell>
          <cell r="H218">
            <v>0</v>
          </cell>
          <cell r="I218" t="str">
            <v>Per Ep</v>
          </cell>
          <cell r="J218">
            <v>0</v>
          </cell>
        </row>
        <row r="219">
          <cell r="C219" t="str">
            <v>Animals and Handlers</v>
          </cell>
          <cell r="E219">
            <v>0</v>
          </cell>
          <cell r="F219" t="str">
            <v>Occ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</row>
        <row r="220">
          <cell r="C220" t="str">
            <v>15A</v>
          </cell>
          <cell r="D220" t="str">
            <v>Costumes Purchased</v>
          </cell>
          <cell r="E220">
            <v>0</v>
          </cell>
          <cell r="F220">
            <v>0</v>
          </cell>
          <cell r="G220" t="str">
            <v>Occ</v>
          </cell>
          <cell r="H220">
            <v>0</v>
          </cell>
          <cell r="I220">
            <v>0</v>
          </cell>
          <cell r="J220">
            <v>0</v>
          </cell>
        </row>
        <row r="221">
          <cell r="C221" t="str">
            <v>15B</v>
          </cell>
          <cell r="D221" t="str">
            <v>Costumes Hired</v>
          </cell>
          <cell r="E221">
            <v>0</v>
          </cell>
          <cell r="F221">
            <v>0</v>
          </cell>
          <cell r="G221" t="str">
            <v>Occ</v>
          </cell>
          <cell r="H221">
            <v>0</v>
          </cell>
          <cell r="I221">
            <v>0</v>
          </cell>
          <cell r="J221">
            <v>0</v>
          </cell>
        </row>
        <row r="222">
          <cell r="C222" t="str">
            <v>15C</v>
          </cell>
          <cell r="D222" t="str">
            <v>Costumes Sundries</v>
          </cell>
          <cell r="E222">
            <v>0</v>
          </cell>
          <cell r="F222">
            <v>0</v>
          </cell>
          <cell r="G222" t="str">
            <v>Occ</v>
          </cell>
          <cell r="H222">
            <v>0</v>
          </cell>
          <cell r="I222">
            <v>0</v>
          </cell>
          <cell r="J222">
            <v>0</v>
          </cell>
        </row>
        <row r="223">
          <cell r="C223" t="str">
            <v>15D</v>
          </cell>
          <cell r="D223" t="str">
            <v>Costumes / Make-up Box Allowances</v>
          </cell>
          <cell r="F223">
            <v>0</v>
          </cell>
          <cell r="G223" t="str">
            <v>Occ</v>
          </cell>
          <cell r="H223">
            <v>0</v>
          </cell>
          <cell r="I223">
            <v>0</v>
          </cell>
          <cell r="J223">
            <v>0</v>
          </cell>
        </row>
        <row r="224">
          <cell r="C224" t="str">
            <v>15E</v>
          </cell>
          <cell r="D224" t="str">
            <v>Artist Dress Allowance</v>
          </cell>
          <cell r="F224">
            <v>0</v>
          </cell>
          <cell r="G224" t="str">
            <v>Occ</v>
          </cell>
          <cell r="H224">
            <v>0</v>
          </cell>
          <cell r="I224">
            <v>0</v>
          </cell>
          <cell r="J224">
            <v>0</v>
          </cell>
        </row>
        <row r="225">
          <cell r="C225" t="str">
            <v>15F</v>
          </cell>
          <cell r="D225" t="str">
            <v>Make-Up</v>
          </cell>
          <cell r="F225">
            <v>0</v>
          </cell>
          <cell r="G225" t="str">
            <v>Occ</v>
          </cell>
          <cell r="H225">
            <v>0</v>
          </cell>
          <cell r="I225">
            <v>0</v>
          </cell>
          <cell r="J225">
            <v>0</v>
          </cell>
        </row>
        <row r="226">
          <cell r="C226" t="str">
            <v>15G</v>
          </cell>
          <cell r="D226" t="str">
            <v>Wigs</v>
          </cell>
          <cell r="F226">
            <v>0</v>
          </cell>
          <cell r="G226" t="str">
            <v>Occ</v>
          </cell>
          <cell r="H226">
            <v>0</v>
          </cell>
          <cell r="I226">
            <v>0</v>
          </cell>
          <cell r="J226">
            <v>0</v>
          </cell>
        </row>
        <row r="227">
          <cell r="C227" t="str">
            <v>15H</v>
          </cell>
          <cell r="D227" t="str">
            <v>Hair Cuts</v>
          </cell>
          <cell r="F227">
            <v>0</v>
          </cell>
          <cell r="G227" t="str">
            <v>Occ</v>
          </cell>
          <cell r="H227">
            <v>0</v>
          </cell>
          <cell r="I227">
            <v>0</v>
          </cell>
          <cell r="J227">
            <v>0</v>
          </cell>
        </row>
        <row r="228">
          <cell r="C228" t="str">
            <v>15I</v>
          </cell>
          <cell r="D228" t="str">
            <v>Prosthetics</v>
          </cell>
          <cell r="E228">
            <v>0</v>
          </cell>
          <cell r="F228">
            <v>0</v>
          </cell>
          <cell r="G228" t="str">
            <v>Occ</v>
          </cell>
          <cell r="H228">
            <v>0</v>
          </cell>
          <cell r="I228">
            <v>0</v>
          </cell>
          <cell r="J228">
            <v>0</v>
          </cell>
        </row>
        <row r="229">
          <cell r="C229" t="str">
            <v>15Sub Total</v>
          </cell>
          <cell r="E229" t="str">
            <v>Sub Total</v>
          </cell>
          <cell r="F229" t="str">
            <v>Occ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</row>
        <row r="230">
          <cell r="C230" t="str">
            <v>Costumes Sundries</v>
          </cell>
          <cell r="E230">
            <v>0</v>
          </cell>
          <cell r="F230" t="str">
            <v>Occ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</row>
        <row r="231">
          <cell r="C231" t="str">
            <v>Costumes / Make-up Box Allowances</v>
          </cell>
          <cell r="E231">
            <v>0</v>
          </cell>
          <cell r="F231" t="str">
            <v>Occ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</row>
        <row r="232">
          <cell r="C232" t="str">
            <v>16</v>
          </cell>
          <cell r="D232" t="str">
            <v>Production Equipment</v>
          </cell>
          <cell r="E232">
            <v>0</v>
          </cell>
          <cell r="F232" t="str">
            <v>Occ</v>
          </cell>
          <cell r="G232">
            <v>0</v>
          </cell>
          <cell r="H232">
            <v>0</v>
          </cell>
          <cell r="I232" t="str">
            <v>Per Ep</v>
          </cell>
          <cell r="J232">
            <v>0</v>
          </cell>
        </row>
        <row r="233">
          <cell r="C233" t="str">
            <v>Make-Up</v>
          </cell>
          <cell r="E233">
            <v>0</v>
          </cell>
          <cell r="F233" t="str">
            <v>Occ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</row>
        <row r="234">
          <cell r="C234" t="str">
            <v>16A</v>
          </cell>
          <cell r="D234" t="str">
            <v>Camera Equipment</v>
          </cell>
          <cell r="E234">
            <v>0</v>
          </cell>
          <cell r="F234">
            <v>0</v>
          </cell>
          <cell r="G234" t="str">
            <v>Occ</v>
          </cell>
          <cell r="H234">
            <v>0</v>
          </cell>
          <cell r="I234">
            <v>0</v>
          </cell>
          <cell r="J234">
            <v>0</v>
          </cell>
        </row>
        <row r="235">
          <cell r="C235" t="str">
            <v>16B</v>
          </cell>
          <cell r="D235" t="str">
            <v>Steadicam</v>
          </cell>
          <cell r="E235">
            <v>0</v>
          </cell>
          <cell r="F235">
            <v>0</v>
          </cell>
          <cell r="G235" t="str">
            <v>Occ</v>
          </cell>
          <cell r="H235">
            <v>0</v>
          </cell>
          <cell r="I235">
            <v>0</v>
          </cell>
          <cell r="J235">
            <v>0</v>
          </cell>
        </row>
        <row r="236">
          <cell r="C236" t="str">
            <v>16C</v>
          </cell>
          <cell r="D236" t="str">
            <v>DV Hire</v>
          </cell>
          <cell r="E236">
            <v>0</v>
          </cell>
          <cell r="F236">
            <v>0</v>
          </cell>
          <cell r="G236" t="str">
            <v>Occ</v>
          </cell>
          <cell r="H236">
            <v>0</v>
          </cell>
          <cell r="I236">
            <v>0</v>
          </cell>
          <cell r="J236">
            <v>0</v>
          </cell>
        </row>
        <row r="237">
          <cell r="C237" t="str">
            <v>16D</v>
          </cell>
          <cell r="D237" t="str">
            <v>Camera Consumables</v>
          </cell>
          <cell r="F237">
            <v>0</v>
          </cell>
          <cell r="G237" t="str">
            <v>Occ</v>
          </cell>
          <cell r="H237">
            <v>0</v>
          </cell>
          <cell r="I237">
            <v>0</v>
          </cell>
          <cell r="J237">
            <v>0</v>
          </cell>
        </row>
        <row r="238">
          <cell r="C238" t="str">
            <v>16E</v>
          </cell>
          <cell r="D238" t="str">
            <v>Grip Equipment</v>
          </cell>
          <cell r="F238">
            <v>0</v>
          </cell>
          <cell r="G238" t="str">
            <v>Occ</v>
          </cell>
          <cell r="H238">
            <v>0</v>
          </cell>
          <cell r="I238">
            <v>0</v>
          </cell>
          <cell r="J238">
            <v>0</v>
          </cell>
        </row>
        <row r="239">
          <cell r="C239" t="str">
            <v>16F</v>
          </cell>
          <cell r="D239" t="str">
            <v>Sound Equipment</v>
          </cell>
          <cell r="F239">
            <v>0</v>
          </cell>
          <cell r="G239" t="str">
            <v>Occ</v>
          </cell>
          <cell r="H239">
            <v>0</v>
          </cell>
          <cell r="I239">
            <v>0</v>
          </cell>
          <cell r="J239">
            <v>0</v>
          </cell>
        </row>
        <row r="240">
          <cell r="C240" t="str">
            <v>16G</v>
          </cell>
          <cell r="D240" t="str">
            <v>Sound Consumables</v>
          </cell>
          <cell r="F240">
            <v>0</v>
          </cell>
          <cell r="G240" t="str">
            <v>Occ</v>
          </cell>
          <cell r="H240">
            <v>0</v>
          </cell>
          <cell r="I240">
            <v>0</v>
          </cell>
          <cell r="J240">
            <v>0</v>
          </cell>
        </row>
        <row r="241">
          <cell r="C241" t="str">
            <v>16H</v>
          </cell>
          <cell r="D241" t="str">
            <v>Lighting Equipment</v>
          </cell>
          <cell r="F241">
            <v>0</v>
          </cell>
          <cell r="G241" t="str">
            <v>Occ</v>
          </cell>
          <cell r="H241">
            <v>0</v>
          </cell>
          <cell r="I241">
            <v>0</v>
          </cell>
          <cell r="J241">
            <v>0</v>
          </cell>
        </row>
        <row r="242">
          <cell r="C242" t="str">
            <v>16I</v>
          </cell>
          <cell r="D242" t="str">
            <v>HD Equipment</v>
          </cell>
          <cell r="E242">
            <v>36</v>
          </cell>
          <cell r="F242">
            <v>0</v>
          </cell>
          <cell r="G242" t="str">
            <v>Occ</v>
          </cell>
          <cell r="H242">
            <v>0</v>
          </cell>
          <cell r="I242">
            <v>0</v>
          </cell>
          <cell r="J242">
            <v>0</v>
          </cell>
        </row>
        <row r="243">
          <cell r="C243" t="str">
            <v>16J</v>
          </cell>
          <cell r="D243" t="str">
            <v>Lighting Consumables</v>
          </cell>
          <cell r="E243">
            <v>0</v>
          </cell>
          <cell r="F243">
            <v>0</v>
          </cell>
          <cell r="G243" t="str">
            <v>Occ</v>
          </cell>
          <cell r="H243">
            <v>0</v>
          </cell>
          <cell r="I243">
            <v>0</v>
          </cell>
          <cell r="J243">
            <v>0</v>
          </cell>
        </row>
        <row r="244">
          <cell r="C244" t="str">
            <v>16K</v>
          </cell>
          <cell r="D244" t="str">
            <v>Autocue</v>
          </cell>
          <cell r="E244">
            <v>0</v>
          </cell>
          <cell r="F244">
            <v>0</v>
          </cell>
          <cell r="G244" t="str">
            <v>Occ</v>
          </cell>
          <cell r="H244">
            <v>0</v>
          </cell>
          <cell r="I244">
            <v>0</v>
          </cell>
          <cell r="J244">
            <v>0</v>
          </cell>
        </row>
        <row r="245">
          <cell r="C245" t="str">
            <v>16L</v>
          </cell>
          <cell r="D245" t="str">
            <v>Projector</v>
          </cell>
          <cell r="E245">
            <v>18</v>
          </cell>
          <cell r="F245">
            <v>0</v>
          </cell>
          <cell r="G245" t="str">
            <v>Occ</v>
          </cell>
          <cell r="H245">
            <v>0</v>
          </cell>
          <cell r="I245">
            <v>0</v>
          </cell>
          <cell r="J245">
            <v>0</v>
          </cell>
        </row>
        <row r="246">
          <cell r="C246" t="str">
            <v>16M</v>
          </cell>
          <cell r="D246" t="str">
            <v>Towers &amp; Cherry Pickers</v>
          </cell>
          <cell r="E246">
            <v>0</v>
          </cell>
          <cell r="F246">
            <v>0</v>
          </cell>
          <cell r="G246" t="str">
            <v>Occ</v>
          </cell>
          <cell r="H246">
            <v>0</v>
          </cell>
          <cell r="I246">
            <v>0</v>
          </cell>
          <cell r="J246">
            <v>0</v>
          </cell>
        </row>
        <row r="247">
          <cell r="C247" t="str">
            <v>16N</v>
          </cell>
          <cell r="D247" t="str">
            <v>Techno Crane / Cranes inc Jimmy Jib</v>
          </cell>
          <cell r="E247">
            <v>0</v>
          </cell>
          <cell r="F247">
            <v>0</v>
          </cell>
          <cell r="G247" t="str">
            <v>Occ</v>
          </cell>
          <cell r="H247">
            <v>0</v>
          </cell>
          <cell r="I247">
            <v>0</v>
          </cell>
          <cell r="J247">
            <v>0</v>
          </cell>
        </row>
        <row r="248">
          <cell r="C248" t="str">
            <v>16O</v>
          </cell>
          <cell r="D248" t="str">
            <v>Scaffolding</v>
          </cell>
          <cell r="E248">
            <v>0</v>
          </cell>
          <cell r="F248">
            <v>0</v>
          </cell>
          <cell r="G248" t="str">
            <v>Occ</v>
          </cell>
          <cell r="H248">
            <v>0</v>
          </cell>
          <cell r="I248">
            <v>0</v>
          </cell>
          <cell r="J248">
            <v>0</v>
          </cell>
        </row>
        <row r="249">
          <cell r="C249" t="str">
            <v>16P</v>
          </cell>
          <cell r="D249" t="str">
            <v>Electrical  Equipment</v>
          </cell>
          <cell r="E249">
            <v>0</v>
          </cell>
          <cell r="F249">
            <v>0</v>
          </cell>
          <cell r="G249" t="str">
            <v>Occ</v>
          </cell>
          <cell r="H249">
            <v>0</v>
          </cell>
          <cell r="I249">
            <v>0</v>
          </cell>
          <cell r="J249">
            <v>0</v>
          </cell>
        </row>
        <row r="250">
          <cell r="C250" t="str">
            <v>16Q</v>
          </cell>
          <cell r="D250" t="str">
            <v>Generators</v>
          </cell>
          <cell r="E250">
            <v>0</v>
          </cell>
          <cell r="F250">
            <v>0</v>
          </cell>
          <cell r="G250" t="str">
            <v>Occ</v>
          </cell>
          <cell r="H250">
            <v>0</v>
          </cell>
          <cell r="I250">
            <v>0</v>
          </cell>
          <cell r="J250">
            <v>0</v>
          </cell>
        </row>
        <row r="251">
          <cell r="C251" t="str">
            <v>16R</v>
          </cell>
          <cell r="D251" t="str">
            <v>Walkie Talkies</v>
          </cell>
          <cell r="E251">
            <v>0</v>
          </cell>
          <cell r="F251">
            <v>0</v>
          </cell>
          <cell r="G251" t="str">
            <v>Occ</v>
          </cell>
          <cell r="H251">
            <v>0</v>
          </cell>
          <cell r="I251">
            <v>0</v>
          </cell>
          <cell r="J251">
            <v>0</v>
          </cell>
        </row>
        <row r="252">
          <cell r="C252" t="str">
            <v>16S</v>
          </cell>
          <cell r="D252" t="str">
            <v>Wide Angle Lens</v>
          </cell>
          <cell r="E252">
            <v>0</v>
          </cell>
          <cell r="F252">
            <v>0</v>
          </cell>
          <cell r="G252" t="str">
            <v>Occ</v>
          </cell>
          <cell r="H252">
            <v>0</v>
          </cell>
          <cell r="I252">
            <v>0</v>
          </cell>
          <cell r="J252">
            <v>0</v>
          </cell>
        </row>
        <row r="253">
          <cell r="C253" t="str">
            <v>16T</v>
          </cell>
          <cell r="D253" t="str">
            <v>Miscellaneous Production Equipment</v>
          </cell>
          <cell r="E253">
            <v>0</v>
          </cell>
          <cell r="F253">
            <v>0</v>
          </cell>
          <cell r="G253" t="str">
            <v>Occ</v>
          </cell>
          <cell r="H253">
            <v>0</v>
          </cell>
          <cell r="I253">
            <v>0</v>
          </cell>
          <cell r="J253">
            <v>0</v>
          </cell>
        </row>
        <row r="254">
          <cell r="C254" t="str">
            <v>16U</v>
          </cell>
          <cell r="D254" t="str">
            <v>Jimmy Jib</v>
          </cell>
          <cell r="E254">
            <v>0</v>
          </cell>
          <cell r="F254">
            <v>0</v>
          </cell>
          <cell r="G254" t="str">
            <v>Occ</v>
          </cell>
          <cell r="H254">
            <v>0</v>
          </cell>
          <cell r="I254">
            <v>0</v>
          </cell>
          <cell r="J254">
            <v>0</v>
          </cell>
        </row>
        <row r="255">
          <cell r="C255" t="str">
            <v>16V</v>
          </cell>
          <cell r="D255" t="str">
            <v>Covert Filming Equipment</v>
          </cell>
          <cell r="E255">
            <v>0</v>
          </cell>
          <cell r="F255">
            <v>0</v>
          </cell>
          <cell r="G255" t="str">
            <v>Occ</v>
          </cell>
          <cell r="H255">
            <v>0</v>
          </cell>
          <cell r="I255">
            <v>0</v>
          </cell>
          <cell r="J255">
            <v>0</v>
          </cell>
        </row>
        <row r="256">
          <cell r="C256" t="str">
            <v>16W</v>
          </cell>
          <cell r="D256" t="str">
            <v>CGI Animation Computer Equipment</v>
          </cell>
          <cell r="E256">
            <v>0</v>
          </cell>
          <cell r="F256">
            <v>0</v>
          </cell>
          <cell r="G256" t="str">
            <v>Occ</v>
          </cell>
          <cell r="H256">
            <v>0</v>
          </cell>
          <cell r="I256">
            <v>0</v>
          </cell>
          <cell r="J256">
            <v>0</v>
          </cell>
        </row>
        <row r="257">
          <cell r="C257" t="str">
            <v>16Sub Total</v>
          </cell>
          <cell r="E257" t="str">
            <v>Sub Total</v>
          </cell>
          <cell r="F257" t="str">
            <v>Occ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</row>
        <row r="258">
          <cell r="C258" t="str">
            <v>Generators</v>
          </cell>
          <cell r="E258">
            <v>0</v>
          </cell>
          <cell r="F258" t="str">
            <v>Occ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</row>
        <row r="259">
          <cell r="C259" t="str">
            <v>Walkie Talkies</v>
          </cell>
          <cell r="E259">
            <v>0</v>
          </cell>
          <cell r="F259" t="str">
            <v>Occ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</row>
        <row r="260">
          <cell r="C260" t="str">
            <v>17</v>
          </cell>
          <cell r="D260" t="str">
            <v>Facility Packages</v>
          </cell>
          <cell r="E260">
            <v>0</v>
          </cell>
          <cell r="F260" t="str">
            <v>Occ</v>
          </cell>
          <cell r="G260">
            <v>0</v>
          </cell>
          <cell r="H260">
            <v>0</v>
          </cell>
          <cell r="I260" t="str">
            <v>Per Ep</v>
          </cell>
          <cell r="J260">
            <v>0</v>
          </cell>
        </row>
        <row r="261">
          <cell r="C261" t="str">
            <v>Miscellaneous Production Equipment</v>
          </cell>
          <cell r="D261" t="str">
            <v xml:space="preserve">Body Cam </v>
          </cell>
          <cell r="E261">
            <v>9</v>
          </cell>
          <cell r="F261" t="str">
            <v>Weeks</v>
          </cell>
          <cell r="G261">
            <v>300</v>
          </cell>
          <cell r="H261">
            <v>450</v>
          </cell>
          <cell r="I261">
            <v>2700</v>
          </cell>
          <cell r="J261">
            <v>0</v>
          </cell>
        </row>
        <row r="262">
          <cell r="C262" t="str">
            <v>17A</v>
          </cell>
          <cell r="D262" t="str">
            <v>Facility Packages</v>
          </cell>
          <cell r="E262">
            <v>0</v>
          </cell>
          <cell r="F262">
            <v>0</v>
          </cell>
          <cell r="G262" t="str">
            <v>Occ</v>
          </cell>
          <cell r="H262">
            <v>0</v>
          </cell>
          <cell r="I262">
            <v>0</v>
          </cell>
          <cell r="J262">
            <v>0</v>
          </cell>
        </row>
        <row r="263">
          <cell r="C263" t="str">
            <v>17B</v>
          </cell>
          <cell r="D263" t="str">
            <v>Camera Crews (Incl. Equipment)</v>
          </cell>
          <cell r="E263">
            <v>0</v>
          </cell>
          <cell r="F263">
            <v>0</v>
          </cell>
          <cell r="G263" t="str">
            <v>Occ</v>
          </cell>
          <cell r="H263">
            <v>0</v>
          </cell>
          <cell r="I263">
            <v>0</v>
          </cell>
          <cell r="J263">
            <v>0</v>
          </cell>
        </row>
        <row r="264">
          <cell r="C264" t="str">
            <v>17C</v>
          </cell>
          <cell r="D264" t="str">
            <v>Video Stringers</v>
          </cell>
          <cell r="E264">
            <v>0</v>
          </cell>
          <cell r="F264">
            <v>0</v>
          </cell>
          <cell r="G264" t="str">
            <v>Occ</v>
          </cell>
          <cell r="H264">
            <v>0</v>
          </cell>
          <cell r="I264">
            <v>0</v>
          </cell>
          <cell r="J264">
            <v>0</v>
          </cell>
        </row>
        <row r="265">
          <cell r="C265" t="str">
            <v>17D</v>
          </cell>
          <cell r="D265" t="str">
            <v>Second Unit</v>
          </cell>
          <cell r="E265">
            <v>0</v>
          </cell>
          <cell r="F265">
            <v>0</v>
          </cell>
          <cell r="G265" t="str">
            <v>Occ</v>
          </cell>
          <cell r="H265">
            <v>0</v>
          </cell>
          <cell r="I265">
            <v>0</v>
          </cell>
          <cell r="J265">
            <v>0</v>
          </cell>
        </row>
        <row r="266">
          <cell r="C266" t="str">
            <v>17E</v>
          </cell>
          <cell r="D266" t="str">
            <v>Second Camera</v>
          </cell>
          <cell r="F266">
            <v>0</v>
          </cell>
          <cell r="G266" t="str">
            <v>Occ</v>
          </cell>
          <cell r="H266">
            <v>0</v>
          </cell>
          <cell r="I266">
            <v>0</v>
          </cell>
          <cell r="J266">
            <v>0</v>
          </cell>
        </row>
        <row r="267">
          <cell r="C267" t="str">
            <v>17Sub Total</v>
          </cell>
          <cell r="E267" t="str">
            <v>Sub Total</v>
          </cell>
          <cell r="I267">
            <v>0</v>
          </cell>
          <cell r="J267">
            <v>0</v>
          </cell>
        </row>
        <row r="268">
          <cell r="I268">
            <v>0</v>
          </cell>
          <cell r="J268">
            <v>0</v>
          </cell>
        </row>
        <row r="269">
          <cell r="C269" t="str">
            <v>Facility Packages</v>
          </cell>
          <cell r="H269">
            <v>0</v>
          </cell>
          <cell r="I269">
            <v>0</v>
          </cell>
          <cell r="J269">
            <v>0</v>
          </cell>
        </row>
        <row r="270">
          <cell r="C270" t="str">
            <v>18</v>
          </cell>
          <cell r="D270" t="str">
            <v>Studios / Outside Broadcast</v>
          </cell>
          <cell r="I270" t="str">
            <v>Per Ep</v>
          </cell>
          <cell r="J270">
            <v>0</v>
          </cell>
        </row>
        <row r="271">
          <cell r="C271" t="str">
            <v>Facility Packages</v>
          </cell>
          <cell r="F271" t="str">
            <v>Occ</v>
          </cell>
          <cell r="G271">
            <v>1200</v>
          </cell>
          <cell r="H271">
            <v>0</v>
          </cell>
          <cell r="I271">
            <v>0</v>
          </cell>
          <cell r="J271">
            <v>0</v>
          </cell>
        </row>
        <row r="272">
          <cell r="C272" t="str">
            <v>18A</v>
          </cell>
          <cell r="D272" t="str">
            <v>Studio</v>
          </cell>
          <cell r="E272">
            <v>0</v>
          </cell>
          <cell r="F272">
            <v>0</v>
          </cell>
          <cell r="G272" t="str">
            <v>Occ</v>
          </cell>
          <cell r="H272">
            <v>0</v>
          </cell>
          <cell r="I272">
            <v>0</v>
          </cell>
          <cell r="J272">
            <v>0</v>
          </cell>
        </row>
        <row r="273">
          <cell r="C273" t="str">
            <v>18B</v>
          </cell>
          <cell r="D273" t="str">
            <v>Sound Mobile</v>
          </cell>
          <cell r="E273">
            <v>0</v>
          </cell>
          <cell r="F273">
            <v>0</v>
          </cell>
          <cell r="G273" t="str">
            <v>Occ</v>
          </cell>
          <cell r="H273">
            <v>0</v>
          </cell>
          <cell r="I273">
            <v>0</v>
          </cell>
          <cell r="J273">
            <v>0</v>
          </cell>
        </row>
        <row r="274">
          <cell r="C274" t="str">
            <v>18C</v>
          </cell>
          <cell r="D274" t="str">
            <v>Studio Security</v>
          </cell>
          <cell r="E274">
            <v>0</v>
          </cell>
          <cell r="F274">
            <v>0</v>
          </cell>
          <cell r="G274" t="str">
            <v>Occ</v>
          </cell>
          <cell r="H274">
            <v>0</v>
          </cell>
          <cell r="I274">
            <v>0</v>
          </cell>
          <cell r="J274">
            <v>0</v>
          </cell>
        </row>
        <row r="275">
          <cell r="C275" t="str">
            <v>18D</v>
          </cell>
          <cell r="D275" t="str">
            <v>Audiences and Tickets</v>
          </cell>
          <cell r="E275">
            <v>0</v>
          </cell>
          <cell r="F275">
            <v>0</v>
          </cell>
          <cell r="G275" t="str">
            <v>Occ</v>
          </cell>
          <cell r="H275">
            <v>0</v>
          </cell>
          <cell r="I275">
            <v>0</v>
          </cell>
          <cell r="J275">
            <v>0</v>
          </cell>
        </row>
        <row r="276">
          <cell r="C276" t="str">
            <v>18E</v>
          </cell>
          <cell r="D276" t="str">
            <v>VT Engineer</v>
          </cell>
          <cell r="F276">
            <v>0</v>
          </cell>
          <cell r="G276" t="str">
            <v>Occ</v>
          </cell>
          <cell r="H276">
            <v>0</v>
          </cell>
          <cell r="I276">
            <v>0</v>
          </cell>
          <cell r="J276">
            <v>0</v>
          </cell>
        </row>
        <row r="277">
          <cell r="C277" t="str">
            <v>18F</v>
          </cell>
          <cell r="D277" t="str">
            <v>Studio Crew</v>
          </cell>
          <cell r="F277">
            <v>0</v>
          </cell>
          <cell r="G277" t="str">
            <v>Occ</v>
          </cell>
          <cell r="H277">
            <v>0</v>
          </cell>
          <cell r="I277">
            <v>0</v>
          </cell>
          <cell r="J277">
            <v>0</v>
          </cell>
        </row>
        <row r="278">
          <cell r="C278" t="str">
            <v>18G</v>
          </cell>
          <cell r="D278" t="str">
            <v>Technical Supervisor</v>
          </cell>
          <cell r="F278">
            <v>0</v>
          </cell>
          <cell r="G278" t="str">
            <v>Occ</v>
          </cell>
          <cell r="H278">
            <v>0</v>
          </cell>
          <cell r="I278">
            <v>0</v>
          </cell>
          <cell r="J278">
            <v>0</v>
          </cell>
        </row>
        <row r="279">
          <cell r="C279" t="str">
            <v>18H</v>
          </cell>
          <cell r="D279" t="str">
            <v>Engineer</v>
          </cell>
          <cell r="F279">
            <v>0</v>
          </cell>
          <cell r="G279" t="str">
            <v>Occ</v>
          </cell>
          <cell r="H279">
            <v>0</v>
          </cell>
          <cell r="I279">
            <v>0</v>
          </cell>
          <cell r="J279">
            <v>0</v>
          </cell>
        </row>
        <row r="280">
          <cell r="C280" t="str">
            <v>18I</v>
          </cell>
          <cell r="D280" t="str">
            <v>Technical Assistant</v>
          </cell>
          <cell r="F280">
            <v>0</v>
          </cell>
          <cell r="G280" t="str">
            <v>Occ</v>
          </cell>
          <cell r="H280">
            <v>0</v>
          </cell>
          <cell r="I280">
            <v>0</v>
          </cell>
          <cell r="J280">
            <v>0</v>
          </cell>
        </row>
        <row r="281">
          <cell r="C281" t="str">
            <v>18J</v>
          </cell>
          <cell r="D281" t="str">
            <v>CTF / MCR Labour</v>
          </cell>
          <cell r="E281">
            <v>0</v>
          </cell>
          <cell r="F281">
            <v>0</v>
          </cell>
          <cell r="G281" t="str">
            <v>Occ</v>
          </cell>
          <cell r="H281">
            <v>0</v>
          </cell>
          <cell r="I281">
            <v>0</v>
          </cell>
          <cell r="J281">
            <v>0</v>
          </cell>
        </row>
        <row r="282">
          <cell r="C282" t="str">
            <v>18K</v>
          </cell>
          <cell r="D282" t="str">
            <v>OB Unit</v>
          </cell>
          <cell r="E282">
            <v>0</v>
          </cell>
          <cell r="F282">
            <v>0</v>
          </cell>
          <cell r="G282" t="str">
            <v>Occ</v>
          </cell>
          <cell r="H282">
            <v>0</v>
          </cell>
          <cell r="I282">
            <v>0</v>
          </cell>
          <cell r="J282">
            <v>0</v>
          </cell>
        </row>
        <row r="283">
          <cell r="C283" t="str">
            <v>18L</v>
          </cell>
          <cell r="D283" t="str">
            <v>OB Security</v>
          </cell>
          <cell r="E283">
            <v>0</v>
          </cell>
          <cell r="F283">
            <v>0</v>
          </cell>
          <cell r="G283" t="str">
            <v>Occ</v>
          </cell>
          <cell r="H283">
            <v>0</v>
          </cell>
          <cell r="I283">
            <v>0</v>
          </cell>
          <cell r="J283">
            <v>0</v>
          </cell>
        </row>
        <row r="284">
          <cell r="C284" t="str">
            <v>18M</v>
          </cell>
          <cell r="D284" t="str">
            <v>Power</v>
          </cell>
          <cell r="E284">
            <v>0</v>
          </cell>
          <cell r="F284">
            <v>0</v>
          </cell>
          <cell r="G284" t="str">
            <v>Occ</v>
          </cell>
          <cell r="H284">
            <v>0</v>
          </cell>
          <cell r="I284">
            <v>0</v>
          </cell>
          <cell r="J284">
            <v>0</v>
          </cell>
        </row>
        <row r="285">
          <cell r="C285" t="str">
            <v>18N</v>
          </cell>
          <cell r="D285" t="str">
            <v>Cranes</v>
          </cell>
          <cell r="E285">
            <v>0</v>
          </cell>
          <cell r="F285">
            <v>0</v>
          </cell>
          <cell r="G285" t="str">
            <v>Occ</v>
          </cell>
          <cell r="H285">
            <v>0</v>
          </cell>
          <cell r="I285">
            <v>0</v>
          </cell>
          <cell r="J285">
            <v>0</v>
          </cell>
        </row>
        <row r="286">
          <cell r="C286" t="str">
            <v>18O</v>
          </cell>
          <cell r="D286" t="str">
            <v>Air Conditioning</v>
          </cell>
          <cell r="E286">
            <v>0</v>
          </cell>
          <cell r="F286">
            <v>0</v>
          </cell>
          <cell r="G286" t="str">
            <v>Occ</v>
          </cell>
          <cell r="H286">
            <v>0</v>
          </cell>
          <cell r="I286">
            <v>0</v>
          </cell>
          <cell r="J286">
            <v>0</v>
          </cell>
        </row>
        <row r="287">
          <cell r="C287" t="str">
            <v>18P</v>
          </cell>
          <cell r="D287" t="str">
            <v>Waste Disposal</v>
          </cell>
          <cell r="E287">
            <v>0</v>
          </cell>
          <cell r="F287">
            <v>0</v>
          </cell>
          <cell r="G287" t="str">
            <v>Occ</v>
          </cell>
          <cell r="H287">
            <v>0</v>
          </cell>
          <cell r="I287">
            <v>0</v>
          </cell>
          <cell r="J287">
            <v>0</v>
          </cell>
        </row>
        <row r="288">
          <cell r="C288" t="str">
            <v>18Q</v>
          </cell>
          <cell r="D288" t="str">
            <v>Studio and OB Consumables</v>
          </cell>
          <cell r="E288">
            <v>0</v>
          </cell>
          <cell r="F288">
            <v>0</v>
          </cell>
          <cell r="G288" t="str">
            <v>Occ</v>
          </cell>
          <cell r="H288">
            <v>0</v>
          </cell>
          <cell r="I288">
            <v>0</v>
          </cell>
          <cell r="J288">
            <v>0</v>
          </cell>
        </row>
        <row r="289">
          <cell r="C289" t="str">
            <v>18R</v>
          </cell>
          <cell r="D289" t="str">
            <v>Water</v>
          </cell>
          <cell r="E289">
            <v>0</v>
          </cell>
          <cell r="F289">
            <v>0</v>
          </cell>
          <cell r="G289" t="str">
            <v>Occ</v>
          </cell>
          <cell r="H289">
            <v>0</v>
          </cell>
          <cell r="I289">
            <v>0</v>
          </cell>
          <cell r="J289">
            <v>0</v>
          </cell>
        </row>
        <row r="290">
          <cell r="C290" t="str">
            <v>18S</v>
          </cell>
          <cell r="D290" t="str">
            <v>Commentary Positions</v>
          </cell>
          <cell r="E290">
            <v>0</v>
          </cell>
          <cell r="F290">
            <v>0</v>
          </cell>
          <cell r="G290" t="str">
            <v>Occ</v>
          </cell>
          <cell r="H290">
            <v>0</v>
          </cell>
          <cell r="I290">
            <v>0</v>
          </cell>
          <cell r="J290">
            <v>0</v>
          </cell>
        </row>
        <row r="291">
          <cell r="C291" t="str">
            <v>18Sub Total</v>
          </cell>
          <cell r="E291" t="str">
            <v>Sub Total</v>
          </cell>
          <cell r="F291" t="str">
            <v>Occ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</row>
        <row r="292">
          <cell r="C292" t="str">
            <v>OB Security</v>
          </cell>
          <cell r="E292">
            <v>0</v>
          </cell>
          <cell r="F292" t="str">
            <v>Occ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</row>
        <row r="293">
          <cell r="C293" t="str">
            <v>Power</v>
          </cell>
          <cell r="E293">
            <v>0</v>
          </cell>
          <cell r="F293" t="str">
            <v>Occ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</row>
        <row r="294">
          <cell r="C294" t="str">
            <v>19</v>
          </cell>
          <cell r="D294" t="str">
            <v>Other Production Facilities</v>
          </cell>
          <cell r="E294">
            <v>0</v>
          </cell>
          <cell r="F294" t="str">
            <v>Occ</v>
          </cell>
          <cell r="G294">
            <v>0</v>
          </cell>
          <cell r="H294">
            <v>0</v>
          </cell>
          <cell r="I294" t="str">
            <v>Per Ep</v>
          </cell>
          <cell r="J294">
            <v>0</v>
          </cell>
        </row>
        <row r="295">
          <cell r="C295" t="str">
            <v>Air Conditioning</v>
          </cell>
          <cell r="E295">
            <v>0</v>
          </cell>
          <cell r="F295" t="str">
            <v>Occ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</row>
        <row r="296">
          <cell r="C296" t="str">
            <v>19A</v>
          </cell>
          <cell r="D296" t="str">
            <v>Location  Facility Fees</v>
          </cell>
          <cell r="E296">
            <v>0</v>
          </cell>
          <cell r="F296">
            <v>0</v>
          </cell>
          <cell r="G296" t="str">
            <v>Occ</v>
          </cell>
          <cell r="H296">
            <v>0</v>
          </cell>
          <cell r="I296">
            <v>0</v>
          </cell>
          <cell r="J296">
            <v>0</v>
          </cell>
        </row>
        <row r="297">
          <cell r="C297" t="str">
            <v>19B</v>
          </cell>
          <cell r="D297" t="str">
            <v>Location Security</v>
          </cell>
          <cell r="E297">
            <v>0</v>
          </cell>
          <cell r="F297">
            <v>0</v>
          </cell>
          <cell r="G297" t="str">
            <v>Occ</v>
          </cell>
          <cell r="H297">
            <v>0</v>
          </cell>
          <cell r="I297">
            <v>0</v>
          </cell>
          <cell r="J297">
            <v>0</v>
          </cell>
        </row>
        <row r="298">
          <cell r="C298" t="str">
            <v>19C</v>
          </cell>
          <cell r="D298" t="str">
            <v>Catering - Dining Bus / Fuel</v>
          </cell>
          <cell r="E298">
            <v>0</v>
          </cell>
          <cell r="F298">
            <v>0</v>
          </cell>
          <cell r="G298" t="str">
            <v>Occ</v>
          </cell>
          <cell r="H298">
            <v>0</v>
          </cell>
          <cell r="I298">
            <v>0</v>
          </cell>
          <cell r="J298">
            <v>0</v>
          </cell>
        </row>
        <row r="299">
          <cell r="C299" t="str">
            <v>19D</v>
          </cell>
          <cell r="D299" t="str">
            <v>Catering - Meals</v>
          </cell>
          <cell r="E299">
            <v>0</v>
          </cell>
          <cell r="F299">
            <v>0</v>
          </cell>
          <cell r="G299" t="str">
            <v>Occ</v>
          </cell>
          <cell r="H299">
            <v>0</v>
          </cell>
          <cell r="I299">
            <v>0</v>
          </cell>
          <cell r="J299">
            <v>0</v>
          </cell>
        </row>
        <row r="300">
          <cell r="C300" t="str">
            <v>19E</v>
          </cell>
          <cell r="D300" t="str">
            <v>Catering - Labour / Overtime</v>
          </cell>
          <cell r="E300">
            <v>0</v>
          </cell>
          <cell r="F300">
            <v>0</v>
          </cell>
          <cell r="G300" t="str">
            <v>Occ</v>
          </cell>
          <cell r="H300">
            <v>0</v>
          </cell>
          <cell r="I300">
            <v>0</v>
          </cell>
          <cell r="J300">
            <v>0</v>
          </cell>
        </row>
        <row r="301">
          <cell r="C301" t="str">
            <v>19F</v>
          </cell>
          <cell r="D301" t="str">
            <v>Honey Wagon /  Portaloos</v>
          </cell>
          <cell r="E301">
            <v>0</v>
          </cell>
          <cell r="F301">
            <v>0</v>
          </cell>
          <cell r="G301" t="str">
            <v>Occ</v>
          </cell>
          <cell r="H301">
            <v>0</v>
          </cell>
          <cell r="I301">
            <v>0</v>
          </cell>
          <cell r="J301">
            <v>0</v>
          </cell>
        </row>
        <row r="302">
          <cell r="C302" t="str">
            <v>19G</v>
          </cell>
          <cell r="D302" t="str">
            <v>Make-Up / Wardrobe Trailers</v>
          </cell>
          <cell r="F302">
            <v>0</v>
          </cell>
          <cell r="G302" t="str">
            <v>Occ</v>
          </cell>
          <cell r="H302">
            <v>0</v>
          </cell>
          <cell r="I302">
            <v>0</v>
          </cell>
          <cell r="J302">
            <v>0</v>
          </cell>
        </row>
        <row r="303">
          <cell r="C303" t="str">
            <v>19H</v>
          </cell>
          <cell r="D303" t="str">
            <v>Service Vehicles</v>
          </cell>
          <cell r="F303">
            <v>0</v>
          </cell>
          <cell r="G303" t="str">
            <v>Occ</v>
          </cell>
          <cell r="H303">
            <v>0</v>
          </cell>
          <cell r="I303">
            <v>0</v>
          </cell>
          <cell r="J303">
            <v>0</v>
          </cell>
        </row>
        <row r="304">
          <cell r="C304" t="str">
            <v>19I</v>
          </cell>
          <cell r="D304" t="str">
            <v>Winnebagoes</v>
          </cell>
          <cell r="F304">
            <v>0</v>
          </cell>
          <cell r="G304" t="str">
            <v>Occ</v>
          </cell>
          <cell r="H304">
            <v>0</v>
          </cell>
          <cell r="I304">
            <v>0</v>
          </cell>
          <cell r="J304">
            <v>0</v>
          </cell>
        </row>
        <row r="305">
          <cell r="C305" t="str">
            <v>19J</v>
          </cell>
          <cell r="D305" t="str">
            <v>Other Hired Transport</v>
          </cell>
          <cell r="F305">
            <v>0</v>
          </cell>
          <cell r="G305" t="str">
            <v>Occ</v>
          </cell>
          <cell r="H305">
            <v>0</v>
          </cell>
          <cell r="I305">
            <v>0</v>
          </cell>
          <cell r="J305">
            <v>0</v>
          </cell>
        </row>
        <row r="306">
          <cell r="C306" t="str">
            <v>19K</v>
          </cell>
          <cell r="D306" t="str">
            <v>Helicopter / Boat Hire</v>
          </cell>
          <cell r="F306">
            <v>0</v>
          </cell>
          <cell r="G306" t="str">
            <v>Occ</v>
          </cell>
          <cell r="H306">
            <v>0</v>
          </cell>
          <cell r="I306">
            <v>0</v>
          </cell>
          <cell r="J306">
            <v>0</v>
          </cell>
        </row>
        <row r="307">
          <cell r="C307" t="str">
            <v>19L</v>
          </cell>
          <cell r="D307" t="str">
            <v>Satellite Links</v>
          </cell>
          <cell r="E307">
            <v>0</v>
          </cell>
          <cell r="F307">
            <v>0</v>
          </cell>
          <cell r="G307" t="str">
            <v>Occ</v>
          </cell>
          <cell r="H307">
            <v>0</v>
          </cell>
          <cell r="I307">
            <v>0</v>
          </cell>
          <cell r="J307">
            <v>0</v>
          </cell>
        </row>
        <row r="308">
          <cell r="C308" t="str">
            <v>19M</v>
          </cell>
          <cell r="D308" t="str">
            <v>Telecom Lines / Cable Fees</v>
          </cell>
          <cell r="E308">
            <v>0</v>
          </cell>
          <cell r="F308">
            <v>0</v>
          </cell>
          <cell r="G308" t="str">
            <v>Occ</v>
          </cell>
          <cell r="H308">
            <v>0</v>
          </cell>
          <cell r="I308">
            <v>0</v>
          </cell>
          <cell r="J308">
            <v>0</v>
          </cell>
        </row>
        <row r="309">
          <cell r="C309" t="str">
            <v>19N</v>
          </cell>
          <cell r="D309" t="str">
            <v>Playouts</v>
          </cell>
          <cell r="E309">
            <v>0</v>
          </cell>
          <cell r="F309">
            <v>0</v>
          </cell>
          <cell r="G309" t="str">
            <v>Occ</v>
          </cell>
          <cell r="H309">
            <v>0</v>
          </cell>
          <cell r="I309">
            <v>0</v>
          </cell>
          <cell r="J309">
            <v>0</v>
          </cell>
        </row>
        <row r="310">
          <cell r="C310" t="str">
            <v>19O</v>
          </cell>
          <cell r="D310" t="str">
            <v>Medical / Health &amp; Safety</v>
          </cell>
          <cell r="E310">
            <v>0</v>
          </cell>
          <cell r="F310">
            <v>0</v>
          </cell>
          <cell r="G310" t="str">
            <v>Occ</v>
          </cell>
          <cell r="H310">
            <v>0</v>
          </cell>
          <cell r="I310">
            <v>0</v>
          </cell>
          <cell r="J310">
            <v>0</v>
          </cell>
        </row>
        <row r="311">
          <cell r="C311" t="str">
            <v>19P</v>
          </cell>
          <cell r="D311" t="str">
            <v>Facilities Deal</v>
          </cell>
          <cell r="E311">
            <v>0</v>
          </cell>
          <cell r="F311">
            <v>0</v>
          </cell>
          <cell r="G311" t="str">
            <v>Occ</v>
          </cell>
          <cell r="H311">
            <v>0</v>
          </cell>
          <cell r="I311">
            <v>0</v>
          </cell>
          <cell r="J311">
            <v>0</v>
          </cell>
        </row>
        <row r="312">
          <cell r="C312" t="str">
            <v>19Q</v>
          </cell>
          <cell r="D312" t="str">
            <v>Facilities Fuel</v>
          </cell>
          <cell r="E312">
            <v>0</v>
          </cell>
          <cell r="F312">
            <v>0</v>
          </cell>
          <cell r="G312" t="str">
            <v>Occ</v>
          </cell>
          <cell r="H312">
            <v>0</v>
          </cell>
          <cell r="I312">
            <v>0</v>
          </cell>
          <cell r="J312">
            <v>0</v>
          </cell>
        </row>
        <row r="313">
          <cell r="C313" t="str">
            <v>19R</v>
          </cell>
          <cell r="D313" t="str">
            <v>Other Hired Facilities</v>
          </cell>
          <cell r="E313">
            <v>0</v>
          </cell>
          <cell r="F313">
            <v>0</v>
          </cell>
          <cell r="G313" t="str">
            <v>Occ</v>
          </cell>
          <cell r="H313">
            <v>0</v>
          </cell>
          <cell r="I313">
            <v>0</v>
          </cell>
          <cell r="J313">
            <v>0</v>
          </cell>
        </row>
        <row r="314">
          <cell r="C314" t="str">
            <v>19S</v>
          </cell>
          <cell r="D314" t="str">
            <v>Rehearsal Rooms</v>
          </cell>
          <cell r="E314">
            <v>0</v>
          </cell>
          <cell r="F314">
            <v>0</v>
          </cell>
          <cell r="G314" t="str">
            <v>Occ</v>
          </cell>
          <cell r="H314">
            <v>0</v>
          </cell>
          <cell r="I314">
            <v>0</v>
          </cell>
          <cell r="J314">
            <v>0</v>
          </cell>
        </row>
        <row r="315">
          <cell r="C315" t="str">
            <v>19T</v>
          </cell>
          <cell r="D315" t="str">
            <v>Readthrough Facilities</v>
          </cell>
          <cell r="E315">
            <v>0</v>
          </cell>
          <cell r="F315">
            <v>0</v>
          </cell>
          <cell r="G315" t="str">
            <v>Occ</v>
          </cell>
          <cell r="H315">
            <v>0</v>
          </cell>
          <cell r="I315">
            <v>0</v>
          </cell>
          <cell r="J315">
            <v>0</v>
          </cell>
        </row>
        <row r="316">
          <cell r="C316" t="str">
            <v>19Sub Total</v>
          </cell>
          <cell r="D316" t="str">
            <v xml:space="preserve">Extra police vehicel and driver </v>
          </cell>
          <cell r="E316" t="str">
            <v>Sub Total</v>
          </cell>
          <cell r="F316" t="str">
            <v>Occ</v>
          </cell>
          <cell r="G316">
            <v>375</v>
          </cell>
          <cell r="H316">
            <v>1125</v>
          </cell>
          <cell r="I316">
            <v>0</v>
          </cell>
          <cell r="J316">
            <v>0</v>
          </cell>
        </row>
        <row r="317">
          <cell r="C317" t="str">
            <v>Helicopter / Boat Hire</v>
          </cell>
          <cell r="E317">
            <v>0</v>
          </cell>
          <cell r="F317" t="str">
            <v>Occ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</row>
        <row r="318">
          <cell r="C318" t="str">
            <v>Satellite Links</v>
          </cell>
          <cell r="E318">
            <v>0</v>
          </cell>
          <cell r="F318" t="str">
            <v>Occ</v>
          </cell>
          <cell r="G318">
            <v>0</v>
          </cell>
          <cell r="H318">
            <v>0</v>
          </cell>
          <cell r="I318">
            <v>0</v>
          </cell>
        </row>
        <row r="319">
          <cell r="C319" t="str">
            <v>20</v>
          </cell>
          <cell r="D319" t="str">
            <v>Film / Tape Stock</v>
          </cell>
          <cell r="E319">
            <v>0</v>
          </cell>
          <cell r="F319" t="str">
            <v>Occ</v>
          </cell>
          <cell r="G319">
            <v>0</v>
          </cell>
          <cell r="H319">
            <v>0</v>
          </cell>
          <cell r="I319" t="str">
            <v>Per Ep</v>
          </cell>
          <cell r="J319">
            <v>0</v>
          </cell>
        </row>
        <row r="320">
          <cell r="C320" t="str">
            <v>Playouts</v>
          </cell>
          <cell r="E320">
            <v>0</v>
          </cell>
          <cell r="F320" t="str">
            <v>Occ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</row>
        <row r="321">
          <cell r="C321" t="str">
            <v>20A</v>
          </cell>
          <cell r="D321" t="str">
            <v>Tape Stock</v>
          </cell>
          <cell r="F321">
            <v>0</v>
          </cell>
          <cell r="G321" t="str">
            <v>Occ</v>
          </cell>
          <cell r="H321">
            <v>0</v>
          </cell>
          <cell r="I321">
            <v>0</v>
          </cell>
          <cell r="J321">
            <v>0</v>
          </cell>
        </row>
        <row r="322">
          <cell r="C322" t="str">
            <v>20B</v>
          </cell>
          <cell r="D322" t="str">
            <v>Film Stock</v>
          </cell>
          <cell r="E322">
            <v>0</v>
          </cell>
          <cell r="F322">
            <v>0</v>
          </cell>
          <cell r="G322" t="str">
            <v>Occ</v>
          </cell>
          <cell r="H322">
            <v>0</v>
          </cell>
          <cell r="I322">
            <v>0</v>
          </cell>
          <cell r="J322">
            <v>0</v>
          </cell>
        </row>
        <row r="323">
          <cell r="C323" t="str">
            <v>20C</v>
          </cell>
          <cell r="D323" t="str">
            <v>Sound Tape Stock</v>
          </cell>
          <cell r="E323">
            <v>0</v>
          </cell>
          <cell r="F323">
            <v>0</v>
          </cell>
          <cell r="G323" t="str">
            <v>Occ</v>
          </cell>
          <cell r="H323">
            <v>0</v>
          </cell>
          <cell r="I323">
            <v>0</v>
          </cell>
          <cell r="J323">
            <v>0</v>
          </cell>
        </row>
        <row r="324">
          <cell r="C324" t="str">
            <v>20Sub Total</v>
          </cell>
          <cell r="D324" t="str">
            <v>Laptops on location x4</v>
          </cell>
          <cell r="E324" t="str">
            <v>Sub Total</v>
          </cell>
          <cell r="F324" t="str">
            <v>Occ</v>
          </cell>
          <cell r="G324">
            <v>1000</v>
          </cell>
          <cell r="H324">
            <v>666.67</v>
          </cell>
          <cell r="I324">
            <v>0</v>
          </cell>
          <cell r="J324">
            <v>0</v>
          </cell>
        </row>
        <row r="325">
          <cell r="C325" t="str">
            <v>Rehearsal Rooms</v>
          </cell>
          <cell r="E325">
            <v>0</v>
          </cell>
          <cell r="F325" t="str">
            <v>Occ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</row>
        <row r="326">
          <cell r="C326" t="str">
            <v>Readthrough Facilities</v>
          </cell>
          <cell r="E326">
            <v>0</v>
          </cell>
          <cell r="F326" t="str">
            <v>Occ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</row>
        <row r="327">
          <cell r="C327" t="str">
            <v>21</v>
          </cell>
          <cell r="D327" t="str">
            <v>Animation Pre Production</v>
          </cell>
          <cell r="H327">
            <v>1791.67</v>
          </cell>
          <cell r="I327" t="str">
            <v>Per Ep</v>
          </cell>
          <cell r="J327">
            <v>0</v>
          </cell>
        </row>
        <row r="328">
          <cell r="I328">
            <v>10750</v>
          </cell>
          <cell r="J328">
            <v>0</v>
          </cell>
        </row>
        <row r="329">
          <cell r="C329" t="str">
            <v>21A</v>
          </cell>
          <cell r="D329" t="str">
            <v>Voice Record Studio</v>
          </cell>
          <cell r="F329">
            <v>0</v>
          </cell>
          <cell r="G329" t="str">
            <v>Occ</v>
          </cell>
          <cell r="H329">
            <v>0</v>
          </cell>
          <cell r="I329">
            <v>0</v>
          </cell>
          <cell r="J329">
            <v>0</v>
          </cell>
        </row>
        <row r="330">
          <cell r="C330" t="str">
            <v>21B</v>
          </cell>
          <cell r="D330" t="str">
            <v>Voice Record Expenses</v>
          </cell>
          <cell r="F330">
            <v>0</v>
          </cell>
          <cell r="G330" t="str">
            <v>Occ</v>
          </cell>
          <cell r="H330">
            <v>0</v>
          </cell>
          <cell r="I330">
            <v>0</v>
          </cell>
          <cell r="J330">
            <v>0</v>
          </cell>
        </row>
        <row r="331">
          <cell r="C331" t="str">
            <v>21C</v>
          </cell>
          <cell r="D331" t="str">
            <v>Cut Track</v>
          </cell>
          <cell r="F331">
            <v>0</v>
          </cell>
          <cell r="G331" t="str">
            <v>Occ</v>
          </cell>
          <cell r="H331">
            <v>0</v>
          </cell>
          <cell r="I331">
            <v>0</v>
          </cell>
          <cell r="J331">
            <v>0</v>
          </cell>
        </row>
        <row r="332">
          <cell r="C332" t="str">
            <v>21D</v>
          </cell>
          <cell r="D332" t="str">
            <v>Dialogue Assembly</v>
          </cell>
          <cell r="E332">
            <v>6</v>
          </cell>
          <cell r="F332">
            <v>0</v>
          </cell>
          <cell r="G332" t="str">
            <v>Occ</v>
          </cell>
          <cell r="H332">
            <v>0</v>
          </cell>
          <cell r="I332">
            <v>0</v>
          </cell>
          <cell r="J332">
            <v>0</v>
          </cell>
        </row>
        <row r="333">
          <cell r="C333" t="str">
            <v>21E</v>
          </cell>
          <cell r="D333" t="str">
            <v>Dialogue Fine Cut</v>
          </cell>
          <cell r="E333">
            <v>6</v>
          </cell>
          <cell r="F333">
            <v>0</v>
          </cell>
          <cell r="G333" t="str">
            <v>Occ</v>
          </cell>
          <cell r="H333">
            <v>0</v>
          </cell>
          <cell r="I333">
            <v>0</v>
          </cell>
          <cell r="J333">
            <v>0</v>
          </cell>
        </row>
        <row r="334">
          <cell r="C334" t="str">
            <v>21F</v>
          </cell>
          <cell r="D334" t="str">
            <v>Barsheets</v>
          </cell>
          <cell r="F334">
            <v>0</v>
          </cell>
          <cell r="G334" t="str">
            <v>Occ</v>
          </cell>
          <cell r="H334">
            <v>0</v>
          </cell>
          <cell r="I334">
            <v>0</v>
          </cell>
          <cell r="J334">
            <v>0</v>
          </cell>
        </row>
        <row r="335">
          <cell r="C335" t="str">
            <v>21G</v>
          </cell>
          <cell r="D335" t="str">
            <v>Animatics</v>
          </cell>
          <cell r="E335">
            <v>0</v>
          </cell>
          <cell r="F335">
            <v>0</v>
          </cell>
          <cell r="G335" t="str">
            <v>Occ</v>
          </cell>
          <cell r="H335">
            <v>0</v>
          </cell>
          <cell r="I335">
            <v>0</v>
          </cell>
          <cell r="J335">
            <v>0</v>
          </cell>
        </row>
        <row r="336">
          <cell r="C336" t="str">
            <v>21H</v>
          </cell>
          <cell r="D336" t="str">
            <v>X-Sheets</v>
          </cell>
          <cell r="E336">
            <v>0</v>
          </cell>
          <cell r="F336">
            <v>0</v>
          </cell>
          <cell r="G336" t="str">
            <v>Occ</v>
          </cell>
          <cell r="H336">
            <v>0</v>
          </cell>
          <cell r="I336">
            <v>0</v>
          </cell>
          <cell r="J336">
            <v>0</v>
          </cell>
        </row>
        <row r="337">
          <cell r="C337" t="str">
            <v>21I</v>
          </cell>
          <cell r="D337" t="str">
            <v>Layouts</v>
          </cell>
          <cell r="E337">
            <v>0</v>
          </cell>
          <cell r="F337">
            <v>0</v>
          </cell>
          <cell r="G337" t="str">
            <v>Occ</v>
          </cell>
          <cell r="H337">
            <v>0</v>
          </cell>
          <cell r="I337">
            <v>0</v>
          </cell>
          <cell r="J337">
            <v>0</v>
          </cell>
        </row>
        <row r="338">
          <cell r="C338" t="str">
            <v>21Sub Total</v>
          </cell>
          <cell r="E338" t="str">
            <v>Sub Total</v>
          </cell>
          <cell r="F338" t="str">
            <v>Occ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</row>
        <row r="339">
          <cell r="D339" t="str">
            <v>Sub-Total</v>
          </cell>
          <cell r="H339">
            <v>800</v>
          </cell>
          <cell r="I339">
            <v>4800</v>
          </cell>
        </row>
        <row r="340">
          <cell r="I340">
            <v>4800</v>
          </cell>
          <cell r="J340">
            <v>0</v>
          </cell>
        </row>
        <row r="341">
          <cell r="C341" t="str">
            <v>22</v>
          </cell>
          <cell r="D341" t="str">
            <v>Post Production</v>
          </cell>
          <cell r="I341" t="str">
            <v>Per Ep</v>
          </cell>
          <cell r="J341">
            <v>0</v>
          </cell>
        </row>
        <row r="342">
          <cell r="C342" t="str">
            <v>Animation Pre Production</v>
          </cell>
          <cell r="H342">
            <v>0</v>
          </cell>
          <cell r="I342">
            <v>0</v>
          </cell>
          <cell r="J342">
            <v>0</v>
          </cell>
        </row>
        <row r="343">
          <cell r="C343" t="str">
            <v>22A</v>
          </cell>
          <cell r="D343" t="str">
            <v>Logging / Digitising</v>
          </cell>
          <cell r="F343">
            <v>0</v>
          </cell>
          <cell r="G343" t="str">
            <v>Occ</v>
          </cell>
          <cell r="H343">
            <v>0</v>
          </cell>
          <cell r="I343">
            <v>0</v>
          </cell>
          <cell r="J343">
            <v>0</v>
          </cell>
        </row>
        <row r="344">
          <cell r="C344" t="str">
            <v>22B</v>
          </cell>
          <cell r="D344" t="str">
            <v>Neg Processing / Transfer / Sync</v>
          </cell>
          <cell r="E344">
            <v>0</v>
          </cell>
          <cell r="F344">
            <v>0</v>
          </cell>
          <cell r="G344" t="str">
            <v>Occ</v>
          </cell>
          <cell r="H344">
            <v>0</v>
          </cell>
          <cell r="I344">
            <v>0</v>
          </cell>
          <cell r="J344">
            <v>0</v>
          </cell>
        </row>
        <row r="345">
          <cell r="C345" t="str">
            <v>22E</v>
          </cell>
          <cell r="D345" t="str">
            <v>Avid / Lightworks Offline</v>
          </cell>
          <cell r="E345">
            <v>0</v>
          </cell>
          <cell r="F345">
            <v>0</v>
          </cell>
          <cell r="G345" t="str">
            <v>Occ</v>
          </cell>
          <cell r="H345">
            <v>0</v>
          </cell>
          <cell r="I345">
            <v>0</v>
          </cell>
          <cell r="J345">
            <v>0</v>
          </cell>
        </row>
        <row r="346">
          <cell r="C346" t="str">
            <v>22G</v>
          </cell>
          <cell r="D346" t="str">
            <v>Conform / Online</v>
          </cell>
          <cell r="E346">
            <v>0</v>
          </cell>
          <cell r="F346">
            <v>0</v>
          </cell>
          <cell r="G346" t="str">
            <v>Occ</v>
          </cell>
          <cell r="H346">
            <v>0</v>
          </cell>
          <cell r="I346">
            <v>0</v>
          </cell>
          <cell r="J346">
            <v>0</v>
          </cell>
        </row>
        <row r="347">
          <cell r="C347" t="str">
            <v>22J</v>
          </cell>
          <cell r="D347" t="str">
            <v>Grade / Telecine</v>
          </cell>
          <cell r="E347">
            <v>0</v>
          </cell>
          <cell r="F347">
            <v>0</v>
          </cell>
          <cell r="G347" t="str">
            <v>Occ</v>
          </cell>
          <cell r="H347">
            <v>0</v>
          </cell>
          <cell r="I347">
            <v>0</v>
          </cell>
          <cell r="J347">
            <v>0</v>
          </cell>
        </row>
        <row r="348">
          <cell r="C348" t="str">
            <v>22F</v>
          </cell>
          <cell r="D348" t="str">
            <v>Memory</v>
          </cell>
          <cell r="E348">
            <v>0</v>
          </cell>
          <cell r="F348">
            <v>0</v>
          </cell>
          <cell r="G348" t="str">
            <v>Occ</v>
          </cell>
          <cell r="H348">
            <v>0</v>
          </cell>
          <cell r="I348">
            <v>0</v>
          </cell>
          <cell r="J348">
            <v>0</v>
          </cell>
        </row>
        <row r="349">
          <cell r="C349" t="str">
            <v>22C</v>
          </cell>
          <cell r="D349" t="str">
            <v>Avid / Lightworks Online</v>
          </cell>
          <cell r="E349">
            <v>0</v>
          </cell>
          <cell r="F349">
            <v>0</v>
          </cell>
          <cell r="G349" t="str">
            <v>Occ</v>
          </cell>
          <cell r="H349">
            <v>0</v>
          </cell>
          <cell r="I349">
            <v>0</v>
          </cell>
          <cell r="J349">
            <v>0</v>
          </cell>
        </row>
        <row r="350">
          <cell r="C350" t="str">
            <v>22D</v>
          </cell>
          <cell r="D350" t="str">
            <v>Linear Online</v>
          </cell>
          <cell r="E350">
            <v>0</v>
          </cell>
          <cell r="F350">
            <v>0</v>
          </cell>
          <cell r="G350" t="str">
            <v>Occ</v>
          </cell>
          <cell r="H350">
            <v>0</v>
          </cell>
          <cell r="I350">
            <v>0</v>
          </cell>
          <cell r="J350">
            <v>0</v>
          </cell>
        </row>
        <row r="351">
          <cell r="C351" t="str">
            <v>22H</v>
          </cell>
          <cell r="D351" t="str">
            <v>Negative Cutting</v>
          </cell>
          <cell r="E351">
            <v>0</v>
          </cell>
          <cell r="F351">
            <v>0</v>
          </cell>
          <cell r="G351" t="str">
            <v>Occ</v>
          </cell>
          <cell r="H351">
            <v>0</v>
          </cell>
          <cell r="I351">
            <v>0</v>
          </cell>
          <cell r="J351">
            <v>0</v>
          </cell>
        </row>
        <row r="352">
          <cell r="C352" t="str">
            <v>22I</v>
          </cell>
          <cell r="D352" t="str">
            <v>Sound Conform / Tracklay</v>
          </cell>
          <cell r="E352">
            <v>0</v>
          </cell>
          <cell r="F352">
            <v>0</v>
          </cell>
          <cell r="G352" t="str">
            <v>Occ</v>
          </cell>
          <cell r="H352">
            <v>0</v>
          </cell>
          <cell r="I352">
            <v>0</v>
          </cell>
          <cell r="J352">
            <v>0</v>
          </cell>
        </row>
        <row r="353">
          <cell r="C353" t="str">
            <v>22K</v>
          </cell>
          <cell r="D353" t="str">
            <v>Dub / Mix</v>
          </cell>
          <cell r="E353">
            <v>0</v>
          </cell>
          <cell r="F353">
            <v>0</v>
          </cell>
          <cell r="G353" t="str">
            <v>Occ</v>
          </cell>
          <cell r="H353">
            <v>0</v>
          </cell>
          <cell r="I353">
            <v>0</v>
          </cell>
          <cell r="J353">
            <v>0</v>
          </cell>
        </row>
        <row r="354">
          <cell r="C354" t="str">
            <v>22L</v>
          </cell>
          <cell r="D354" t="str">
            <v>Voice-Over / ADR</v>
          </cell>
          <cell r="F354">
            <v>0</v>
          </cell>
          <cell r="G354" t="str">
            <v>Occ</v>
          </cell>
          <cell r="H354">
            <v>0</v>
          </cell>
          <cell r="I354">
            <v>0</v>
          </cell>
          <cell r="J354">
            <v>0</v>
          </cell>
        </row>
        <row r="355">
          <cell r="C355" t="str">
            <v>22M</v>
          </cell>
          <cell r="D355" t="str">
            <v>Lay Back</v>
          </cell>
          <cell r="F355">
            <v>0</v>
          </cell>
          <cell r="G355" t="str">
            <v>Occ</v>
          </cell>
          <cell r="H355">
            <v>0</v>
          </cell>
          <cell r="I355">
            <v>0</v>
          </cell>
          <cell r="J355">
            <v>0</v>
          </cell>
        </row>
        <row r="356">
          <cell r="C356" t="str">
            <v>22N</v>
          </cell>
          <cell r="D356" t="str">
            <v>Standards Conversion</v>
          </cell>
          <cell r="F356">
            <v>0</v>
          </cell>
          <cell r="G356" t="str">
            <v>Occ</v>
          </cell>
          <cell r="H356">
            <v>0</v>
          </cell>
          <cell r="I356">
            <v>0</v>
          </cell>
          <cell r="J356">
            <v>0</v>
          </cell>
        </row>
        <row r="357">
          <cell r="C357" t="str">
            <v>22O</v>
          </cell>
          <cell r="D357" t="str">
            <v>Final Assembly</v>
          </cell>
          <cell r="F357">
            <v>0</v>
          </cell>
          <cell r="G357" t="str">
            <v>Occ</v>
          </cell>
          <cell r="H357">
            <v>0</v>
          </cell>
          <cell r="I357">
            <v>0</v>
          </cell>
          <cell r="J357">
            <v>0</v>
          </cell>
        </row>
        <row r="358">
          <cell r="C358" t="str">
            <v>22P</v>
          </cell>
          <cell r="D358" t="str">
            <v>Rostrum</v>
          </cell>
          <cell r="F358">
            <v>0</v>
          </cell>
          <cell r="G358" t="str">
            <v>Occ</v>
          </cell>
          <cell r="H358">
            <v>0</v>
          </cell>
          <cell r="I358">
            <v>0</v>
          </cell>
          <cell r="J358">
            <v>0</v>
          </cell>
        </row>
        <row r="359">
          <cell r="C359" t="str">
            <v>22Q</v>
          </cell>
          <cell r="D359" t="str">
            <v>Post Production Special Effects</v>
          </cell>
          <cell r="E359">
            <v>200</v>
          </cell>
          <cell r="F359">
            <v>0</v>
          </cell>
          <cell r="G359" t="str">
            <v>Occ</v>
          </cell>
          <cell r="H359">
            <v>0</v>
          </cell>
          <cell r="I359">
            <v>0</v>
          </cell>
          <cell r="J359">
            <v>0</v>
          </cell>
        </row>
        <row r="360">
          <cell r="C360" t="str">
            <v>22R</v>
          </cell>
          <cell r="D360" t="str">
            <v>Post Production Packages</v>
          </cell>
          <cell r="E360">
            <v>0</v>
          </cell>
          <cell r="F360">
            <v>0</v>
          </cell>
          <cell r="G360" t="str">
            <v>Occ</v>
          </cell>
          <cell r="H360">
            <v>0</v>
          </cell>
          <cell r="I360">
            <v>0</v>
          </cell>
          <cell r="J360">
            <v>0</v>
          </cell>
        </row>
        <row r="361">
          <cell r="C361" t="str">
            <v>22S</v>
          </cell>
          <cell r="D361" t="str">
            <v>Post Production Tapes</v>
          </cell>
          <cell r="E361">
            <v>90</v>
          </cell>
          <cell r="F361">
            <v>0</v>
          </cell>
          <cell r="G361" t="str">
            <v>Occ</v>
          </cell>
          <cell r="H361">
            <v>0</v>
          </cell>
          <cell r="I361">
            <v>0</v>
          </cell>
          <cell r="J361">
            <v>0</v>
          </cell>
        </row>
        <row r="362">
          <cell r="C362" t="str">
            <v>22T</v>
          </cell>
          <cell r="D362" t="str">
            <v>Transfers</v>
          </cell>
          <cell r="F362">
            <v>0</v>
          </cell>
          <cell r="G362" t="str">
            <v>Occ</v>
          </cell>
          <cell r="H362">
            <v>0</v>
          </cell>
          <cell r="I362">
            <v>0</v>
          </cell>
          <cell r="J362">
            <v>0</v>
          </cell>
        </row>
        <row r="363">
          <cell r="C363" t="str">
            <v>22U</v>
          </cell>
          <cell r="D363" t="str">
            <v>Media Management</v>
          </cell>
          <cell r="E363">
            <v>36</v>
          </cell>
          <cell r="F363">
            <v>0</v>
          </cell>
          <cell r="G363" t="str">
            <v>Occ</v>
          </cell>
          <cell r="H363">
            <v>0</v>
          </cell>
          <cell r="I363">
            <v>0</v>
          </cell>
          <cell r="J363">
            <v>0</v>
          </cell>
        </row>
        <row r="364">
          <cell r="C364" t="str">
            <v>22V</v>
          </cell>
          <cell r="D364" t="str">
            <v>Technical Check</v>
          </cell>
          <cell r="E364">
            <v>0</v>
          </cell>
          <cell r="F364">
            <v>0</v>
          </cell>
          <cell r="G364" t="str">
            <v>Occ</v>
          </cell>
          <cell r="H364">
            <v>0</v>
          </cell>
          <cell r="I364">
            <v>0</v>
          </cell>
          <cell r="J364">
            <v>0</v>
          </cell>
        </row>
        <row r="365">
          <cell r="C365" t="str">
            <v>22W</v>
          </cell>
          <cell r="D365" t="str">
            <v>HD Facilities</v>
          </cell>
          <cell r="E365">
            <v>0</v>
          </cell>
          <cell r="F365">
            <v>0</v>
          </cell>
          <cell r="G365" t="str">
            <v>Occ</v>
          </cell>
          <cell r="H365">
            <v>0</v>
          </cell>
          <cell r="I365">
            <v>0</v>
          </cell>
          <cell r="J365">
            <v>0</v>
          </cell>
        </row>
        <row r="366">
          <cell r="C366" t="str">
            <v>22X</v>
          </cell>
          <cell r="D366" t="str">
            <v>Desk Top Editing</v>
          </cell>
          <cell r="E366">
            <v>72</v>
          </cell>
          <cell r="F366">
            <v>0</v>
          </cell>
          <cell r="G366" t="str">
            <v>Occ</v>
          </cell>
          <cell r="H366">
            <v>0</v>
          </cell>
          <cell r="I366">
            <v>0</v>
          </cell>
          <cell r="J366">
            <v>0</v>
          </cell>
        </row>
        <row r="367">
          <cell r="C367" t="str">
            <v>22Y</v>
          </cell>
          <cell r="D367" t="str">
            <v>International Version</v>
          </cell>
          <cell r="E367">
            <v>0</v>
          </cell>
          <cell r="F367">
            <v>0</v>
          </cell>
          <cell r="G367" t="str">
            <v>Occ</v>
          </cell>
          <cell r="H367">
            <v>0</v>
          </cell>
          <cell r="I367">
            <v>0</v>
          </cell>
          <cell r="J367">
            <v>0</v>
          </cell>
        </row>
        <row r="368">
          <cell r="C368" t="str">
            <v>22Sub Total</v>
          </cell>
          <cell r="E368" t="str">
            <v>Sub Total</v>
          </cell>
          <cell r="F368" t="str">
            <v>Occ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</row>
        <row r="369">
          <cell r="C369" t="str">
            <v>Sound Conform / Tracklay</v>
          </cell>
          <cell r="D369" t="str">
            <v>12 Hours Per Ep</v>
          </cell>
          <cell r="E369">
            <v>72</v>
          </cell>
          <cell r="F369" t="str">
            <v>Occ</v>
          </cell>
          <cell r="G369">
            <v>115</v>
          </cell>
          <cell r="H369">
            <v>1380</v>
          </cell>
          <cell r="I369">
            <v>8280</v>
          </cell>
          <cell r="J369">
            <v>0</v>
          </cell>
        </row>
        <row r="370">
          <cell r="C370" t="str">
            <v>Dub / Mix</v>
          </cell>
          <cell r="D370" t="str">
            <v>12 Hrs Ep inc V/O &amp; Layback</v>
          </cell>
          <cell r="E370">
            <v>72</v>
          </cell>
          <cell r="F370" t="str">
            <v>Occ</v>
          </cell>
          <cell r="G370">
            <v>155</v>
          </cell>
          <cell r="H370">
            <v>1860</v>
          </cell>
          <cell r="I370">
            <v>11160</v>
          </cell>
          <cell r="J370">
            <v>0</v>
          </cell>
        </row>
        <row r="371">
          <cell r="C371" t="str">
            <v>23</v>
          </cell>
          <cell r="D371" t="str">
            <v>Library / Film Archive</v>
          </cell>
          <cell r="E371">
            <v>0</v>
          </cell>
          <cell r="F371" t="str">
            <v>Occ</v>
          </cell>
          <cell r="G371">
            <v>0</v>
          </cell>
          <cell r="H371">
            <v>0</v>
          </cell>
          <cell r="I371" t="str">
            <v>Per Ep</v>
          </cell>
          <cell r="J371">
            <v>0</v>
          </cell>
        </row>
        <row r="372">
          <cell r="C372" t="str">
            <v>Lay Back</v>
          </cell>
          <cell r="E372">
            <v>0</v>
          </cell>
          <cell r="F372" t="str">
            <v>Occ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</row>
        <row r="373">
          <cell r="C373" t="str">
            <v>23A</v>
          </cell>
          <cell r="D373" t="str">
            <v>Archive Royalties</v>
          </cell>
          <cell r="E373">
            <v>0</v>
          </cell>
          <cell r="F373">
            <v>0</v>
          </cell>
          <cell r="G373" t="str">
            <v>Occ</v>
          </cell>
          <cell r="H373">
            <v>0</v>
          </cell>
          <cell r="I373">
            <v>0</v>
          </cell>
          <cell r="J373">
            <v>0</v>
          </cell>
        </row>
        <row r="374">
          <cell r="C374" t="str">
            <v>23B</v>
          </cell>
          <cell r="D374" t="str">
            <v>Archive / Stills Processing</v>
          </cell>
          <cell r="E374">
            <v>0</v>
          </cell>
          <cell r="F374">
            <v>0</v>
          </cell>
          <cell r="G374" t="str">
            <v>Occ</v>
          </cell>
          <cell r="H374">
            <v>0</v>
          </cell>
          <cell r="I374">
            <v>0</v>
          </cell>
          <cell r="J374">
            <v>0</v>
          </cell>
        </row>
        <row r="375">
          <cell r="C375" t="str">
            <v>23C</v>
          </cell>
          <cell r="D375" t="str">
            <v>Stills Royalties</v>
          </cell>
          <cell r="E375">
            <v>0</v>
          </cell>
          <cell r="F375">
            <v>0</v>
          </cell>
          <cell r="G375" t="str">
            <v>Occ</v>
          </cell>
          <cell r="H375">
            <v>0</v>
          </cell>
          <cell r="I375">
            <v>0</v>
          </cell>
          <cell r="J375">
            <v>0</v>
          </cell>
        </row>
        <row r="376">
          <cell r="C376" t="str">
            <v>23D</v>
          </cell>
          <cell r="D376" t="str">
            <v>Library Facilities</v>
          </cell>
          <cell r="E376">
            <v>0</v>
          </cell>
          <cell r="F376">
            <v>0</v>
          </cell>
          <cell r="G376" t="str">
            <v>Occ</v>
          </cell>
          <cell r="H376">
            <v>0</v>
          </cell>
          <cell r="I376">
            <v>0</v>
          </cell>
          <cell r="J376">
            <v>0</v>
          </cell>
        </row>
        <row r="377">
          <cell r="C377" t="str">
            <v>23E</v>
          </cell>
          <cell r="D377" t="str">
            <v>Research Materials</v>
          </cell>
          <cell r="E377">
            <v>0</v>
          </cell>
          <cell r="F377">
            <v>0</v>
          </cell>
          <cell r="G377" t="str">
            <v>Occ</v>
          </cell>
          <cell r="H377">
            <v>0</v>
          </cell>
          <cell r="I377">
            <v>0</v>
          </cell>
          <cell r="J377">
            <v>0</v>
          </cell>
        </row>
        <row r="378">
          <cell r="C378" t="str">
            <v>23F</v>
          </cell>
          <cell r="D378" t="str">
            <v>Finders Fees</v>
          </cell>
          <cell r="E378">
            <v>0</v>
          </cell>
          <cell r="F378">
            <v>0</v>
          </cell>
          <cell r="G378" t="str">
            <v>Occ</v>
          </cell>
          <cell r="H378">
            <v>0</v>
          </cell>
          <cell r="I378">
            <v>0</v>
          </cell>
          <cell r="J378">
            <v>0</v>
          </cell>
        </row>
        <row r="379">
          <cell r="C379" t="str">
            <v>23Sub Total</v>
          </cell>
          <cell r="E379" t="str">
            <v>Sub Total</v>
          </cell>
          <cell r="F379" t="str">
            <v>Occ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</row>
        <row r="380">
          <cell r="C380" t="str">
            <v>Media Management</v>
          </cell>
          <cell r="D380" t="str">
            <v>OMFI Export/import</v>
          </cell>
          <cell r="E380">
            <v>12</v>
          </cell>
          <cell r="F380" t="str">
            <v>Occ</v>
          </cell>
          <cell r="G380">
            <v>30</v>
          </cell>
          <cell r="H380">
            <v>60</v>
          </cell>
          <cell r="I380">
            <v>360</v>
          </cell>
          <cell r="J380">
            <v>0</v>
          </cell>
        </row>
        <row r="381">
          <cell r="C381" t="str">
            <v>Technical Check</v>
          </cell>
          <cell r="E381">
            <v>6</v>
          </cell>
          <cell r="F381" t="str">
            <v>Occ</v>
          </cell>
          <cell r="G381">
            <v>300</v>
          </cell>
          <cell r="H381">
            <v>300</v>
          </cell>
          <cell r="I381">
            <v>1800</v>
          </cell>
          <cell r="J381">
            <v>0</v>
          </cell>
        </row>
        <row r="382">
          <cell r="C382" t="str">
            <v>24</v>
          </cell>
          <cell r="D382" t="str">
            <v>Graphics</v>
          </cell>
          <cell r="E382">
            <v>0</v>
          </cell>
          <cell r="F382" t="str">
            <v>Occ</v>
          </cell>
          <cell r="G382">
            <v>0</v>
          </cell>
          <cell r="H382">
            <v>0</v>
          </cell>
          <cell r="I382" t="str">
            <v>Per Ep</v>
          </cell>
          <cell r="J382">
            <v>0</v>
          </cell>
        </row>
        <row r="383">
          <cell r="C383" t="str">
            <v>Desk Top Editing</v>
          </cell>
          <cell r="E383">
            <v>0</v>
          </cell>
          <cell r="F383" t="str">
            <v>Occ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</row>
        <row r="384">
          <cell r="C384" t="str">
            <v>24A</v>
          </cell>
          <cell r="D384" t="str">
            <v>Graphics - In Programme</v>
          </cell>
          <cell r="E384">
            <v>6</v>
          </cell>
          <cell r="F384">
            <v>0</v>
          </cell>
          <cell r="G384" t="str">
            <v>Occ</v>
          </cell>
          <cell r="H384">
            <v>0</v>
          </cell>
          <cell r="I384">
            <v>0</v>
          </cell>
          <cell r="J384">
            <v>0</v>
          </cell>
        </row>
        <row r="385">
          <cell r="C385" t="str">
            <v>24B</v>
          </cell>
          <cell r="D385" t="str">
            <v>Titles</v>
          </cell>
          <cell r="F385">
            <v>0</v>
          </cell>
          <cell r="G385" t="str">
            <v>Occ</v>
          </cell>
          <cell r="H385">
            <v>0</v>
          </cell>
          <cell r="I385">
            <v>0</v>
          </cell>
          <cell r="J385">
            <v>0</v>
          </cell>
        </row>
        <row r="386">
          <cell r="C386" t="str">
            <v>24C</v>
          </cell>
          <cell r="D386" t="str">
            <v>Animation</v>
          </cell>
          <cell r="F386">
            <v>0</v>
          </cell>
          <cell r="G386" t="str">
            <v>Occ</v>
          </cell>
          <cell r="H386">
            <v>0</v>
          </cell>
          <cell r="I386">
            <v>0</v>
          </cell>
          <cell r="J386">
            <v>0</v>
          </cell>
        </row>
        <row r="387">
          <cell r="C387" t="str">
            <v>24D</v>
          </cell>
          <cell r="D387" t="str">
            <v>Crew - Graphics</v>
          </cell>
          <cell r="F387">
            <v>0</v>
          </cell>
          <cell r="G387" t="str">
            <v>Occ</v>
          </cell>
          <cell r="H387">
            <v>0</v>
          </cell>
          <cell r="I387">
            <v>0</v>
          </cell>
          <cell r="J387">
            <v>0</v>
          </cell>
        </row>
        <row r="388">
          <cell r="C388" t="str">
            <v>24E</v>
          </cell>
          <cell r="D388" t="str">
            <v>Desk Top Publishing</v>
          </cell>
          <cell r="F388">
            <v>0</v>
          </cell>
          <cell r="G388" t="str">
            <v>Occ</v>
          </cell>
          <cell r="H388">
            <v>0</v>
          </cell>
          <cell r="I388">
            <v>0</v>
          </cell>
          <cell r="J388">
            <v>0</v>
          </cell>
        </row>
        <row r="389">
          <cell r="C389" t="str">
            <v>24F</v>
          </cell>
          <cell r="D389" t="str">
            <v>Rostrum</v>
          </cell>
          <cell r="F389">
            <v>0</v>
          </cell>
          <cell r="G389" t="str">
            <v>Occ</v>
          </cell>
          <cell r="H389">
            <v>0</v>
          </cell>
          <cell r="I389">
            <v>0</v>
          </cell>
          <cell r="J389">
            <v>0</v>
          </cell>
        </row>
        <row r="390">
          <cell r="C390" t="str">
            <v>24G</v>
          </cell>
          <cell r="D390" t="str">
            <v>Scoring Package</v>
          </cell>
          <cell r="E390">
            <v>0</v>
          </cell>
          <cell r="F390">
            <v>0</v>
          </cell>
          <cell r="G390" t="str">
            <v>Occ</v>
          </cell>
          <cell r="H390">
            <v>0</v>
          </cell>
          <cell r="I390">
            <v>0</v>
          </cell>
          <cell r="J390">
            <v>0</v>
          </cell>
        </row>
        <row r="391">
          <cell r="C391" t="str">
            <v>24Sub Total</v>
          </cell>
          <cell r="E391" t="str">
            <v>Sub Total</v>
          </cell>
          <cell r="F391" t="str">
            <v>Occ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</row>
        <row r="392">
          <cell r="C392" t="str">
            <v>Stills Royalties</v>
          </cell>
          <cell r="E392">
            <v>0</v>
          </cell>
          <cell r="F392" t="str">
            <v>Occ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</row>
        <row r="393">
          <cell r="C393" t="str">
            <v>Library Facilities</v>
          </cell>
          <cell r="E393">
            <v>0</v>
          </cell>
          <cell r="F393" t="str">
            <v>Occ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</row>
        <row r="394">
          <cell r="C394" t="str">
            <v>25</v>
          </cell>
          <cell r="D394" t="str">
            <v>Music</v>
          </cell>
          <cell r="E394">
            <v>0</v>
          </cell>
          <cell r="F394" t="str">
            <v>Occ</v>
          </cell>
          <cell r="G394">
            <v>0</v>
          </cell>
          <cell r="H394">
            <v>0</v>
          </cell>
          <cell r="I394" t="str">
            <v>Per Ep</v>
          </cell>
          <cell r="J394">
            <v>0</v>
          </cell>
        </row>
        <row r="395">
          <cell r="C395" t="str">
            <v>Finders Fees</v>
          </cell>
          <cell r="E395">
            <v>0</v>
          </cell>
          <cell r="F395" t="str">
            <v>Occ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</row>
        <row r="396">
          <cell r="C396" t="str">
            <v>25A</v>
          </cell>
          <cell r="D396" t="str">
            <v>Composed Music</v>
          </cell>
          <cell r="F396">
            <v>0</v>
          </cell>
          <cell r="G396" t="str">
            <v>Occ</v>
          </cell>
          <cell r="H396">
            <v>0</v>
          </cell>
          <cell r="I396">
            <v>0</v>
          </cell>
          <cell r="J396">
            <v>0</v>
          </cell>
        </row>
        <row r="397">
          <cell r="C397" t="str">
            <v>25B</v>
          </cell>
          <cell r="D397" t="str">
            <v>Musical Director</v>
          </cell>
          <cell r="F397">
            <v>0</v>
          </cell>
          <cell r="G397" t="str">
            <v>Occ</v>
          </cell>
          <cell r="H397">
            <v>0</v>
          </cell>
          <cell r="I397">
            <v>0</v>
          </cell>
          <cell r="J397">
            <v>0</v>
          </cell>
        </row>
        <row r="398">
          <cell r="C398" t="str">
            <v>25C</v>
          </cell>
          <cell r="D398" t="str">
            <v>Hired Musicians</v>
          </cell>
          <cell r="F398">
            <v>0</v>
          </cell>
          <cell r="G398" t="str">
            <v>Occ</v>
          </cell>
          <cell r="H398">
            <v>0</v>
          </cell>
          <cell r="I398">
            <v>0</v>
          </cell>
          <cell r="J398">
            <v>0</v>
          </cell>
        </row>
        <row r="399">
          <cell r="C399" t="str">
            <v>25D</v>
          </cell>
          <cell r="D399" t="str">
            <v>PPL / VPL</v>
          </cell>
          <cell r="F399">
            <v>0</v>
          </cell>
          <cell r="G399" t="str">
            <v>Occ</v>
          </cell>
          <cell r="H399">
            <v>0</v>
          </cell>
          <cell r="I399">
            <v>0</v>
          </cell>
          <cell r="J399">
            <v>0</v>
          </cell>
        </row>
        <row r="400">
          <cell r="C400" t="str">
            <v>25E</v>
          </cell>
          <cell r="D400" t="str">
            <v>Signature Tune</v>
          </cell>
          <cell r="F400">
            <v>0</v>
          </cell>
          <cell r="G400" t="str">
            <v>Occ</v>
          </cell>
          <cell r="H400">
            <v>0</v>
          </cell>
          <cell r="I400">
            <v>0</v>
          </cell>
          <cell r="J400">
            <v>0</v>
          </cell>
        </row>
        <row r="401">
          <cell r="C401" t="str">
            <v>25F</v>
          </cell>
          <cell r="D401" t="str">
            <v>Recording Studios</v>
          </cell>
          <cell r="E401">
            <v>6</v>
          </cell>
          <cell r="F401">
            <v>0</v>
          </cell>
          <cell r="G401" t="str">
            <v>Occ</v>
          </cell>
          <cell r="H401">
            <v>0</v>
          </cell>
          <cell r="I401">
            <v>0</v>
          </cell>
          <cell r="J401">
            <v>0</v>
          </cell>
        </row>
        <row r="402">
          <cell r="C402" t="str">
            <v>25G</v>
          </cell>
          <cell r="D402" t="str">
            <v>Tape Usage</v>
          </cell>
          <cell r="E402">
            <v>1</v>
          </cell>
          <cell r="F402">
            <v>0</v>
          </cell>
          <cell r="G402" t="str">
            <v>Occ</v>
          </cell>
          <cell r="H402">
            <v>0</v>
          </cell>
          <cell r="I402">
            <v>0</v>
          </cell>
          <cell r="J402">
            <v>0</v>
          </cell>
        </row>
        <row r="403">
          <cell r="C403" t="str">
            <v>25H</v>
          </cell>
          <cell r="D403" t="str">
            <v>Instruments</v>
          </cell>
          <cell r="E403">
            <v>0</v>
          </cell>
          <cell r="F403">
            <v>0</v>
          </cell>
          <cell r="G403" t="str">
            <v>Occ</v>
          </cell>
          <cell r="H403">
            <v>0</v>
          </cell>
          <cell r="I403">
            <v>0</v>
          </cell>
          <cell r="J403">
            <v>0</v>
          </cell>
        </row>
        <row r="404">
          <cell r="C404" t="str">
            <v>25I</v>
          </cell>
          <cell r="D404" t="str">
            <v>Doubling</v>
          </cell>
          <cell r="E404">
            <v>0</v>
          </cell>
          <cell r="F404">
            <v>0</v>
          </cell>
          <cell r="G404" t="str">
            <v>Occ</v>
          </cell>
          <cell r="H404">
            <v>0</v>
          </cell>
          <cell r="I404">
            <v>0</v>
          </cell>
          <cell r="J404">
            <v>0</v>
          </cell>
        </row>
        <row r="405">
          <cell r="C405" t="str">
            <v>25J</v>
          </cell>
          <cell r="D405" t="str">
            <v>Porterage</v>
          </cell>
          <cell r="E405">
            <v>0</v>
          </cell>
          <cell r="F405">
            <v>0</v>
          </cell>
          <cell r="G405" t="str">
            <v>Occ</v>
          </cell>
          <cell r="H405">
            <v>0</v>
          </cell>
          <cell r="I405">
            <v>0</v>
          </cell>
          <cell r="J405">
            <v>0</v>
          </cell>
        </row>
        <row r="406">
          <cell r="C406" t="str">
            <v>25K</v>
          </cell>
          <cell r="D406" t="str">
            <v>Arranging</v>
          </cell>
          <cell r="E406">
            <v>0</v>
          </cell>
          <cell r="F406">
            <v>0</v>
          </cell>
          <cell r="G406" t="str">
            <v>Occ</v>
          </cell>
          <cell r="H406">
            <v>0</v>
          </cell>
          <cell r="I406">
            <v>0</v>
          </cell>
          <cell r="J406">
            <v>0</v>
          </cell>
        </row>
        <row r="407">
          <cell r="C407" t="str">
            <v>25L</v>
          </cell>
          <cell r="D407" t="str">
            <v>Copying</v>
          </cell>
          <cell r="E407">
            <v>0</v>
          </cell>
          <cell r="F407">
            <v>0</v>
          </cell>
          <cell r="G407" t="str">
            <v>Occ</v>
          </cell>
          <cell r="H407">
            <v>0</v>
          </cell>
          <cell r="I407">
            <v>0</v>
          </cell>
          <cell r="J407">
            <v>0</v>
          </cell>
        </row>
        <row r="408">
          <cell r="C408" t="str">
            <v>25M</v>
          </cell>
          <cell r="D408" t="str">
            <v>Music - Other</v>
          </cell>
          <cell r="F408">
            <v>0</v>
          </cell>
          <cell r="G408" t="str">
            <v>Occ</v>
          </cell>
          <cell r="H408">
            <v>0</v>
          </cell>
          <cell r="I408">
            <v>0</v>
          </cell>
          <cell r="J408">
            <v>0</v>
          </cell>
        </row>
        <row r="409">
          <cell r="C409" t="str">
            <v>25Sub Total</v>
          </cell>
          <cell r="E409" t="str">
            <v>Sub Total</v>
          </cell>
          <cell r="I409">
            <v>0</v>
          </cell>
          <cell r="J409">
            <v>0</v>
          </cell>
        </row>
        <row r="410">
          <cell r="I410">
            <v>2000</v>
          </cell>
          <cell r="J410">
            <v>0</v>
          </cell>
        </row>
        <row r="411">
          <cell r="C411" t="str">
            <v>Music</v>
          </cell>
          <cell r="H411" t="str">
            <v>Ep</v>
          </cell>
          <cell r="I411" t="str">
            <v>Series</v>
          </cell>
          <cell r="J411">
            <v>0</v>
          </cell>
        </row>
        <row r="412">
          <cell r="C412" t="str">
            <v>26</v>
          </cell>
          <cell r="D412" t="str">
            <v>Travel / Transport</v>
          </cell>
          <cell r="I412" t="str">
            <v>Per Ep</v>
          </cell>
          <cell r="J412">
            <v>0</v>
          </cell>
        </row>
        <row r="413">
          <cell r="C413" t="str">
            <v>Composed Music</v>
          </cell>
          <cell r="E413">
            <v>1</v>
          </cell>
          <cell r="F413" t="str">
            <v>Occ</v>
          </cell>
          <cell r="G413">
            <v>2000</v>
          </cell>
          <cell r="H413">
            <v>333.33</v>
          </cell>
          <cell r="I413">
            <v>2000</v>
          </cell>
          <cell r="J413">
            <v>0</v>
          </cell>
        </row>
        <row r="414">
          <cell r="C414" t="str">
            <v>26A</v>
          </cell>
          <cell r="D414" t="str">
            <v>Coach &amp; Minibus Hire</v>
          </cell>
          <cell r="E414">
            <v>0</v>
          </cell>
          <cell r="F414">
            <v>0</v>
          </cell>
          <cell r="G414" t="str">
            <v>Occ</v>
          </cell>
          <cell r="H414">
            <v>0</v>
          </cell>
          <cell r="I414">
            <v>0</v>
          </cell>
          <cell r="J414">
            <v>0</v>
          </cell>
        </row>
        <row r="415">
          <cell r="C415" t="str">
            <v>26B</v>
          </cell>
          <cell r="D415" t="str">
            <v>Cars / Car Hire (UK)</v>
          </cell>
          <cell r="E415">
            <v>0</v>
          </cell>
          <cell r="F415">
            <v>0</v>
          </cell>
          <cell r="G415" t="str">
            <v>Occ</v>
          </cell>
          <cell r="H415">
            <v>0</v>
          </cell>
          <cell r="I415">
            <v>0</v>
          </cell>
          <cell r="J415">
            <v>0</v>
          </cell>
        </row>
        <row r="416">
          <cell r="C416" t="str">
            <v>26C</v>
          </cell>
          <cell r="D416" t="str">
            <v>Fuel</v>
          </cell>
          <cell r="F416">
            <v>0</v>
          </cell>
          <cell r="G416" t="str">
            <v>Occ</v>
          </cell>
          <cell r="H416">
            <v>0</v>
          </cell>
          <cell r="I416">
            <v>0</v>
          </cell>
          <cell r="J416">
            <v>0</v>
          </cell>
        </row>
        <row r="417">
          <cell r="C417" t="str">
            <v>26D</v>
          </cell>
          <cell r="D417" t="str">
            <v>Carriage / Taxis / Bikes</v>
          </cell>
          <cell r="E417">
            <v>0</v>
          </cell>
          <cell r="F417">
            <v>0</v>
          </cell>
          <cell r="G417" t="str">
            <v>Occ</v>
          </cell>
          <cell r="H417">
            <v>0</v>
          </cell>
          <cell r="I417">
            <v>0</v>
          </cell>
          <cell r="J417">
            <v>0</v>
          </cell>
        </row>
        <row r="418">
          <cell r="C418" t="str">
            <v>26E</v>
          </cell>
          <cell r="D418" t="str">
            <v>Freight, Customs &amp; Excess Baggage</v>
          </cell>
          <cell r="E418">
            <v>0</v>
          </cell>
          <cell r="F418">
            <v>0</v>
          </cell>
          <cell r="G418" t="str">
            <v>Occ</v>
          </cell>
          <cell r="H418">
            <v>0</v>
          </cell>
          <cell r="I418">
            <v>0</v>
          </cell>
          <cell r="J418">
            <v>0</v>
          </cell>
        </row>
        <row r="419">
          <cell r="C419" t="str">
            <v>26F</v>
          </cell>
          <cell r="D419" t="str">
            <v>Carnets / Permits / Visas</v>
          </cell>
          <cell r="E419">
            <v>0</v>
          </cell>
          <cell r="F419">
            <v>0</v>
          </cell>
          <cell r="G419" t="str">
            <v>Occ</v>
          </cell>
          <cell r="H419">
            <v>0</v>
          </cell>
          <cell r="I419">
            <v>0</v>
          </cell>
          <cell r="J419">
            <v>0</v>
          </cell>
        </row>
        <row r="420">
          <cell r="C420" t="str">
            <v>26G</v>
          </cell>
          <cell r="D420" t="str">
            <v>UK Mileage</v>
          </cell>
          <cell r="E420">
            <v>0</v>
          </cell>
          <cell r="F420">
            <v>0</v>
          </cell>
          <cell r="G420" t="str">
            <v>Occ</v>
          </cell>
          <cell r="H420">
            <v>0</v>
          </cell>
          <cell r="I420">
            <v>0</v>
          </cell>
          <cell r="J420">
            <v>0</v>
          </cell>
        </row>
        <row r="421">
          <cell r="C421" t="str">
            <v>26H</v>
          </cell>
          <cell r="D421" t="str">
            <v>UK Air Fares</v>
          </cell>
          <cell r="E421">
            <v>0</v>
          </cell>
          <cell r="F421">
            <v>0</v>
          </cell>
          <cell r="G421" t="str">
            <v>Occ</v>
          </cell>
          <cell r="H421">
            <v>0</v>
          </cell>
          <cell r="I421">
            <v>0</v>
          </cell>
          <cell r="J421">
            <v>0</v>
          </cell>
        </row>
        <row r="422">
          <cell r="C422" t="str">
            <v>26I</v>
          </cell>
          <cell r="D422" t="str">
            <v>UK Rail Fares</v>
          </cell>
          <cell r="E422">
            <v>0</v>
          </cell>
          <cell r="F422">
            <v>0</v>
          </cell>
          <cell r="G422" t="str">
            <v>Occ</v>
          </cell>
          <cell r="H422">
            <v>0</v>
          </cell>
          <cell r="I422">
            <v>0</v>
          </cell>
          <cell r="J422">
            <v>0</v>
          </cell>
        </row>
        <row r="423">
          <cell r="C423" t="str">
            <v>26J</v>
          </cell>
          <cell r="D423" t="str">
            <v>UK Ferries</v>
          </cell>
          <cell r="E423">
            <v>0</v>
          </cell>
          <cell r="F423">
            <v>0</v>
          </cell>
          <cell r="G423" t="str">
            <v>Occ</v>
          </cell>
          <cell r="H423">
            <v>0</v>
          </cell>
          <cell r="I423">
            <v>0</v>
          </cell>
          <cell r="J423">
            <v>0</v>
          </cell>
        </row>
        <row r="424">
          <cell r="C424" t="str">
            <v>26K</v>
          </cell>
          <cell r="D424" t="str">
            <v>UK Taxis</v>
          </cell>
          <cell r="E424">
            <v>0</v>
          </cell>
          <cell r="F424">
            <v>0</v>
          </cell>
          <cell r="G424" t="str">
            <v>Occ</v>
          </cell>
          <cell r="H424">
            <v>0</v>
          </cell>
          <cell r="I424">
            <v>0</v>
          </cell>
          <cell r="J424">
            <v>0</v>
          </cell>
        </row>
        <row r="425">
          <cell r="C425" t="str">
            <v>26L</v>
          </cell>
          <cell r="D425" t="str">
            <v>UK Other Travel</v>
          </cell>
          <cell r="E425">
            <v>0</v>
          </cell>
          <cell r="F425">
            <v>0</v>
          </cell>
          <cell r="G425" t="str">
            <v>Occ</v>
          </cell>
          <cell r="H425">
            <v>0</v>
          </cell>
          <cell r="I425">
            <v>0</v>
          </cell>
          <cell r="J425">
            <v>0</v>
          </cell>
        </row>
        <row r="426">
          <cell r="C426" t="str">
            <v>26M</v>
          </cell>
          <cell r="D426" t="str">
            <v>Overseas Air Fares</v>
          </cell>
          <cell r="F426">
            <v>0</v>
          </cell>
          <cell r="G426" t="str">
            <v>Occ</v>
          </cell>
          <cell r="H426">
            <v>0</v>
          </cell>
          <cell r="I426">
            <v>0</v>
          </cell>
          <cell r="J426">
            <v>0</v>
          </cell>
        </row>
        <row r="427">
          <cell r="C427" t="str">
            <v>26N</v>
          </cell>
          <cell r="D427" t="str">
            <v>Overseas Rail Fares</v>
          </cell>
          <cell r="F427">
            <v>0</v>
          </cell>
          <cell r="G427" t="str">
            <v>Occ</v>
          </cell>
          <cell r="H427">
            <v>0</v>
          </cell>
          <cell r="I427">
            <v>0</v>
          </cell>
          <cell r="J427">
            <v>0</v>
          </cell>
        </row>
        <row r="428">
          <cell r="C428" t="str">
            <v>26O</v>
          </cell>
          <cell r="D428" t="str">
            <v>Overseas Ferries</v>
          </cell>
          <cell r="F428">
            <v>0</v>
          </cell>
          <cell r="G428" t="str">
            <v>Occ</v>
          </cell>
          <cell r="H428">
            <v>0</v>
          </cell>
          <cell r="I428">
            <v>0</v>
          </cell>
          <cell r="J428">
            <v>0</v>
          </cell>
        </row>
        <row r="429">
          <cell r="C429" t="str">
            <v>26P</v>
          </cell>
          <cell r="D429" t="str">
            <v>Overseas Taxis</v>
          </cell>
          <cell r="F429">
            <v>0</v>
          </cell>
          <cell r="G429" t="str">
            <v>Occ</v>
          </cell>
          <cell r="H429">
            <v>0</v>
          </cell>
          <cell r="I429">
            <v>0</v>
          </cell>
          <cell r="J429">
            <v>0</v>
          </cell>
        </row>
        <row r="430">
          <cell r="C430" t="str">
            <v>26Q</v>
          </cell>
          <cell r="D430" t="str">
            <v>Overseas Car Hire</v>
          </cell>
          <cell r="F430">
            <v>0</v>
          </cell>
          <cell r="G430" t="str">
            <v>Occ</v>
          </cell>
          <cell r="H430">
            <v>0</v>
          </cell>
          <cell r="I430">
            <v>0</v>
          </cell>
          <cell r="J430">
            <v>0</v>
          </cell>
        </row>
        <row r="431">
          <cell r="C431" t="str">
            <v>26R</v>
          </cell>
          <cell r="D431" t="str">
            <v>Overseas Fuel</v>
          </cell>
          <cell r="E431">
            <v>0</v>
          </cell>
          <cell r="F431">
            <v>0</v>
          </cell>
          <cell r="G431" t="str">
            <v>Occ</v>
          </cell>
          <cell r="H431">
            <v>0</v>
          </cell>
          <cell r="I431">
            <v>0</v>
          </cell>
          <cell r="J431">
            <v>0</v>
          </cell>
        </row>
        <row r="432">
          <cell r="C432" t="str">
            <v>26S</v>
          </cell>
          <cell r="D432" t="str">
            <v>Overseas Other Travel</v>
          </cell>
          <cell r="E432">
            <v>45</v>
          </cell>
          <cell r="F432">
            <v>0</v>
          </cell>
          <cell r="G432" t="str">
            <v>Occ</v>
          </cell>
          <cell r="H432">
            <v>0</v>
          </cell>
          <cell r="I432">
            <v>0</v>
          </cell>
          <cell r="J432">
            <v>0</v>
          </cell>
        </row>
        <row r="433">
          <cell r="C433" t="str">
            <v>26T</v>
          </cell>
          <cell r="D433" t="str">
            <v>Awards Ceremonies Travel &amp; Transport</v>
          </cell>
          <cell r="E433">
            <v>45</v>
          </cell>
          <cell r="F433">
            <v>0</v>
          </cell>
          <cell r="G433" t="str">
            <v>Occ</v>
          </cell>
          <cell r="H433">
            <v>0</v>
          </cell>
          <cell r="I433">
            <v>0</v>
          </cell>
          <cell r="J433">
            <v>0</v>
          </cell>
        </row>
        <row r="434">
          <cell r="C434" t="str">
            <v>26U</v>
          </cell>
          <cell r="D434" t="str">
            <v>Writers Expenses</v>
          </cell>
          <cell r="F434">
            <v>0</v>
          </cell>
          <cell r="G434" t="str">
            <v>Occ</v>
          </cell>
          <cell r="H434">
            <v>0</v>
          </cell>
          <cell r="I434">
            <v>0</v>
          </cell>
          <cell r="J434">
            <v>0</v>
          </cell>
        </row>
        <row r="435">
          <cell r="C435" t="str">
            <v>26V</v>
          </cell>
          <cell r="D435" t="str">
            <v>Presenters Expenses</v>
          </cell>
          <cell r="E435">
            <v>4500</v>
          </cell>
          <cell r="F435">
            <v>0</v>
          </cell>
          <cell r="G435" t="str">
            <v>Occ</v>
          </cell>
          <cell r="H435">
            <v>0</v>
          </cell>
          <cell r="I435">
            <v>0</v>
          </cell>
          <cell r="J435">
            <v>0</v>
          </cell>
        </row>
        <row r="436">
          <cell r="C436" t="str">
            <v>26W</v>
          </cell>
          <cell r="D436" t="str">
            <v>Performers Travel</v>
          </cell>
          <cell r="E436">
            <v>6</v>
          </cell>
          <cell r="F436">
            <v>0</v>
          </cell>
          <cell r="G436" t="str">
            <v>Occ</v>
          </cell>
          <cell r="H436">
            <v>0</v>
          </cell>
          <cell r="I436">
            <v>0</v>
          </cell>
          <cell r="J436">
            <v>0</v>
          </cell>
        </row>
        <row r="437">
          <cell r="C437" t="str">
            <v>26X</v>
          </cell>
          <cell r="D437" t="str">
            <v>Other Artist Expenses</v>
          </cell>
          <cell r="E437">
            <v>6</v>
          </cell>
          <cell r="F437">
            <v>0</v>
          </cell>
          <cell r="G437" t="str">
            <v>Occ</v>
          </cell>
          <cell r="H437">
            <v>0</v>
          </cell>
          <cell r="I437">
            <v>0</v>
          </cell>
          <cell r="J437">
            <v>0</v>
          </cell>
        </row>
        <row r="438">
          <cell r="C438" t="str">
            <v>26Sub Total</v>
          </cell>
          <cell r="E438" t="str">
            <v>Sub Total</v>
          </cell>
          <cell r="F438" t="str">
            <v>Occ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</row>
        <row r="439">
          <cell r="C439" t="str">
            <v>Carnets / Permits / Visas</v>
          </cell>
          <cell r="E439">
            <v>0</v>
          </cell>
          <cell r="F439" t="str">
            <v>Occ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</row>
        <row r="440">
          <cell r="C440" t="str">
            <v>UK Mileage</v>
          </cell>
          <cell r="E440">
            <v>0</v>
          </cell>
          <cell r="F440" t="str">
            <v>Occ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</row>
        <row r="441">
          <cell r="C441" t="str">
            <v>27</v>
          </cell>
          <cell r="D441" t="str">
            <v>Hotel / Living</v>
          </cell>
          <cell r="E441">
            <v>0</v>
          </cell>
          <cell r="F441" t="str">
            <v>Occ</v>
          </cell>
          <cell r="G441">
            <v>0</v>
          </cell>
          <cell r="H441">
            <v>0</v>
          </cell>
          <cell r="I441" t="str">
            <v>Per Ep</v>
          </cell>
          <cell r="J441">
            <v>0</v>
          </cell>
        </row>
        <row r="442">
          <cell r="C442" t="str">
            <v>UK Rail Fares</v>
          </cell>
          <cell r="F442" t="str">
            <v>Occ</v>
          </cell>
          <cell r="H442">
            <v>0</v>
          </cell>
          <cell r="I442">
            <v>0</v>
          </cell>
          <cell r="J442">
            <v>0</v>
          </cell>
        </row>
        <row r="443">
          <cell r="C443" t="str">
            <v>27A</v>
          </cell>
          <cell r="D443" t="str">
            <v>Hospitality</v>
          </cell>
          <cell r="E443">
            <v>0</v>
          </cell>
          <cell r="F443">
            <v>0</v>
          </cell>
          <cell r="G443" t="str">
            <v>Occ</v>
          </cell>
          <cell r="H443">
            <v>0</v>
          </cell>
          <cell r="I443">
            <v>0</v>
          </cell>
          <cell r="J443">
            <v>0</v>
          </cell>
        </row>
        <row r="444">
          <cell r="C444" t="str">
            <v>27B</v>
          </cell>
          <cell r="D444" t="str">
            <v>Foreign Staff Expenses</v>
          </cell>
          <cell r="E444">
            <v>0</v>
          </cell>
          <cell r="F444">
            <v>0</v>
          </cell>
          <cell r="G444" t="str">
            <v>Occ</v>
          </cell>
          <cell r="H444">
            <v>0</v>
          </cell>
          <cell r="I444">
            <v>0</v>
          </cell>
          <cell r="J444">
            <v>0</v>
          </cell>
        </row>
        <row r="445">
          <cell r="C445" t="str">
            <v>27C</v>
          </cell>
          <cell r="D445" t="str">
            <v>Crew Meals</v>
          </cell>
          <cell r="E445">
            <v>0</v>
          </cell>
          <cell r="F445">
            <v>0</v>
          </cell>
          <cell r="G445" t="str">
            <v>Occ</v>
          </cell>
          <cell r="H445">
            <v>0</v>
          </cell>
          <cell r="I445">
            <v>0</v>
          </cell>
          <cell r="J445">
            <v>0</v>
          </cell>
        </row>
        <row r="446">
          <cell r="C446" t="str">
            <v>27D</v>
          </cell>
          <cell r="D446" t="str">
            <v>UK Accommodation Allowances</v>
          </cell>
          <cell r="E446">
            <v>0</v>
          </cell>
          <cell r="F446">
            <v>0</v>
          </cell>
          <cell r="G446" t="str">
            <v>Occ</v>
          </cell>
          <cell r="H446">
            <v>0</v>
          </cell>
          <cell r="I446">
            <v>0</v>
          </cell>
          <cell r="J446">
            <v>0</v>
          </cell>
        </row>
        <row r="447">
          <cell r="C447" t="str">
            <v>27E</v>
          </cell>
          <cell r="D447" t="str">
            <v>UK Per Diems</v>
          </cell>
          <cell r="E447">
            <v>0</v>
          </cell>
          <cell r="F447">
            <v>0</v>
          </cell>
          <cell r="G447" t="str">
            <v>Occ</v>
          </cell>
          <cell r="H447">
            <v>0</v>
          </cell>
          <cell r="I447">
            <v>0</v>
          </cell>
          <cell r="J447">
            <v>0</v>
          </cell>
        </row>
        <row r="448">
          <cell r="C448" t="str">
            <v>27F</v>
          </cell>
          <cell r="D448" t="str">
            <v>UK Meal Allowances</v>
          </cell>
          <cell r="E448">
            <v>0</v>
          </cell>
          <cell r="F448">
            <v>0</v>
          </cell>
          <cell r="G448" t="str">
            <v>Occ</v>
          </cell>
          <cell r="H448">
            <v>0</v>
          </cell>
          <cell r="I448">
            <v>0</v>
          </cell>
          <cell r="J448">
            <v>0</v>
          </cell>
        </row>
        <row r="449">
          <cell r="C449" t="str">
            <v>27G</v>
          </cell>
          <cell r="D449" t="str">
            <v>UK Hotel Bills</v>
          </cell>
          <cell r="E449">
            <v>0</v>
          </cell>
          <cell r="F449">
            <v>0</v>
          </cell>
          <cell r="G449" t="str">
            <v>Occ</v>
          </cell>
          <cell r="H449">
            <v>0</v>
          </cell>
          <cell r="I449">
            <v>0</v>
          </cell>
          <cell r="J449">
            <v>0</v>
          </cell>
        </row>
        <row r="450">
          <cell r="C450" t="str">
            <v>27H</v>
          </cell>
          <cell r="D450" t="str">
            <v>UK Meal Bills</v>
          </cell>
          <cell r="E450">
            <v>0</v>
          </cell>
          <cell r="F450">
            <v>0</v>
          </cell>
          <cell r="G450" t="str">
            <v>Occ</v>
          </cell>
          <cell r="H450">
            <v>0</v>
          </cell>
          <cell r="I450">
            <v>0</v>
          </cell>
          <cell r="J450">
            <v>0</v>
          </cell>
        </row>
        <row r="451">
          <cell r="C451" t="str">
            <v>27I</v>
          </cell>
          <cell r="D451" t="str">
            <v>UK Entertaining &amp; Gratuities</v>
          </cell>
          <cell r="E451">
            <v>0</v>
          </cell>
          <cell r="F451">
            <v>0</v>
          </cell>
          <cell r="G451" t="str">
            <v>Occ</v>
          </cell>
          <cell r="H451">
            <v>0</v>
          </cell>
          <cell r="I451">
            <v>0</v>
          </cell>
          <cell r="J451">
            <v>0</v>
          </cell>
        </row>
        <row r="452">
          <cell r="C452" t="str">
            <v>27J</v>
          </cell>
          <cell r="D452" t="str">
            <v>UK Other Hotel &amp; Living</v>
          </cell>
          <cell r="E452">
            <v>0</v>
          </cell>
          <cell r="F452">
            <v>0</v>
          </cell>
          <cell r="G452" t="str">
            <v>Occ</v>
          </cell>
          <cell r="H452">
            <v>0</v>
          </cell>
          <cell r="I452">
            <v>0</v>
          </cell>
          <cell r="J452">
            <v>0</v>
          </cell>
        </row>
        <row r="453">
          <cell r="C453" t="str">
            <v>27K</v>
          </cell>
          <cell r="D453" t="str">
            <v>Overseas Accommodation Allowances</v>
          </cell>
          <cell r="E453">
            <v>0</v>
          </cell>
          <cell r="F453">
            <v>0</v>
          </cell>
          <cell r="G453" t="str">
            <v>Occ</v>
          </cell>
          <cell r="H453">
            <v>0</v>
          </cell>
          <cell r="I453">
            <v>0</v>
          </cell>
          <cell r="J453">
            <v>0</v>
          </cell>
        </row>
        <row r="454">
          <cell r="C454" t="str">
            <v>27L</v>
          </cell>
          <cell r="D454" t="str">
            <v>Overseas Per Diems</v>
          </cell>
          <cell r="E454">
            <v>0</v>
          </cell>
          <cell r="F454">
            <v>0</v>
          </cell>
          <cell r="G454" t="str">
            <v>Occ</v>
          </cell>
          <cell r="H454">
            <v>0</v>
          </cell>
          <cell r="I454">
            <v>0</v>
          </cell>
          <cell r="J454">
            <v>0</v>
          </cell>
        </row>
        <row r="455">
          <cell r="C455" t="str">
            <v>27M</v>
          </cell>
          <cell r="D455" t="str">
            <v>Overseas Meal Allowances</v>
          </cell>
          <cell r="E455">
            <v>15</v>
          </cell>
          <cell r="F455">
            <v>0</v>
          </cell>
          <cell r="G455" t="str">
            <v>Occ</v>
          </cell>
          <cell r="H455">
            <v>0</v>
          </cell>
          <cell r="I455">
            <v>0</v>
          </cell>
          <cell r="J455">
            <v>0</v>
          </cell>
        </row>
        <row r="456">
          <cell r="C456" t="str">
            <v>27N</v>
          </cell>
          <cell r="D456" t="str">
            <v>Overseas Hotel Bills</v>
          </cell>
          <cell r="E456">
            <v>0</v>
          </cell>
          <cell r="F456">
            <v>0</v>
          </cell>
          <cell r="G456" t="str">
            <v>Occ</v>
          </cell>
          <cell r="H456">
            <v>0</v>
          </cell>
          <cell r="I456">
            <v>0</v>
          </cell>
          <cell r="J456">
            <v>0</v>
          </cell>
        </row>
        <row r="457">
          <cell r="C457" t="str">
            <v>27O</v>
          </cell>
          <cell r="D457" t="str">
            <v>Overseas Meal Bills</v>
          </cell>
          <cell r="E457">
            <v>1</v>
          </cell>
          <cell r="F457">
            <v>0</v>
          </cell>
          <cell r="G457" t="str">
            <v>Occ</v>
          </cell>
          <cell r="H457">
            <v>0</v>
          </cell>
          <cell r="I457">
            <v>0</v>
          </cell>
          <cell r="J457">
            <v>0</v>
          </cell>
        </row>
        <row r="458">
          <cell r="C458" t="str">
            <v>27P</v>
          </cell>
          <cell r="D458" t="str">
            <v>Overseas Entertaining &amp; Gratuities</v>
          </cell>
          <cell r="F458">
            <v>0</v>
          </cell>
          <cell r="G458" t="str">
            <v>Occ</v>
          </cell>
          <cell r="H458">
            <v>0</v>
          </cell>
          <cell r="I458">
            <v>0</v>
          </cell>
          <cell r="J458">
            <v>0</v>
          </cell>
        </row>
        <row r="459">
          <cell r="C459" t="str">
            <v>27Q</v>
          </cell>
          <cell r="D459" t="str">
            <v>Overseas Other Hotel &amp; Living</v>
          </cell>
          <cell r="F459">
            <v>0</v>
          </cell>
          <cell r="G459" t="str">
            <v>Occ</v>
          </cell>
          <cell r="H459">
            <v>0</v>
          </cell>
          <cell r="I459">
            <v>0</v>
          </cell>
          <cell r="J459">
            <v>0</v>
          </cell>
        </row>
        <row r="460">
          <cell r="C460" t="str">
            <v>27R</v>
          </cell>
          <cell r="D460" t="str">
            <v>Phone Expenses</v>
          </cell>
          <cell r="F460">
            <v>0</v>
          </cell>
          <cell r="G460" t="str">
            <v>Occ</v>
          </cell>
          <cell r="H460">
            <v>0</v>
          </cell>
          <cell r="I460">
            <v>0</v>
          </cell>
          <cell r="J460">
            <v>0</v>
          </cell>
        </row>
        <row r="461">
          <cell r="C461" t="str">
            <v>27S</v>
          </cell>
          <cell r="D461" t="str">
            <v>Awards Ceremonies Hotel &amp; Living</v>
          </cell>
          <cell r="F461">
            <v>0</v>
          </cell>
          <cell r="G461" t="str">
            <v>Occ</v>
          </cell>
          <cell r="H461">
            <v>0</v>
          </cell>
          <cell r="I461">
            <v>0</v>
          </cell>
          <cell r="J461">
            <v>0</v>
          </cell>
        </row>
        <row r="462">
          <cell r="C462" t="str">
            <v>27T</v>
          </cell>
          <cell r="D462" t="str">
            <v>Performers Hotel/living</v>
          </cell>
          <cell r="F462">
            <v>0</v>
          </cell>
          <cell r="G462" t="str">
            <v>Occ</v>
          </cell>
          <cell r="H462">
            <v>0</v>
          </cell>
          <cell r="I462">
            <v>0</v>
          </cell>
          <cell r="J462">
            <v>0</v>
          </cell>
        </row>
        <row r="463">
          <cell r="C463" t="str">
            <v>27Sub Total</v>
          </cell>
          <cell r="E463" t="str">
            <v>Sub Total</v>
          </cell>
          <cell r="F463" t="str">
            <v>Occ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</row>
        <row r="464">
          <cell r="C464" t="str">
            <v>Foreign Staff Expenses</v>
          </cell>
          <cell r="E464">
            <v>0</v>
          </cell>
          <cell r="F464" t="str">
            <v>Occ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</row>
        <row r="465">
          <cell r="C465" t="str">
            <v>Crew Meals</v>
          </cell>
          <cell r="E465">
            <v>0</v>
          </cell>
          <cell r="F465" t="str">
            <v>Occ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</row>
        <row r="466">
          <cell r="C466" t="str">
            <v>28</v>
          </cell>
          <cell r="D466" t="str">
            <v>Other Production Costs</v>
          </cell>
          <cell r="E466">
            <v>180</v>
          </cell>
          <cell r="F466" t="str">
            <v>Occ</v>
          </cell>
          <cell r="G466">
            <v>40</v>
          </cell>
          <cell r="H466">
            <v>1200</v>
          </cell>
          <cell r="I466" t="str">
            <v>Per Ep</v>
          </cell>
          <cell r="J466">
            <v>0</v>
          </cell>
        </row>
        <row r="467">
          <cell r="C467" t="str">
            <v>UK Accommodation Allowances</v>
          </cell>
          <cell r="E467">
            <v>0</v>
          </cell>
          <cell r="F467" t="str">
            <v>Occ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</row>
        <row r="468">
          <cell r="C468" t="str">
            <v>28A</v>
          </cell>
          <cell r="D468" t="str">
            <v>Prizes</v>
          </cell>
          <cell r="E468">
            <v>0</v>
          </cell>
          <cell r="F468">
            <v>0</v>
          </cell>
          <cell r="G468" t="str">
            <v>Occ</v>
          </cell>
          <cell r="H468">
            <v>0</v>
          </cell>
          <cell r="I468">
            <v>0</v>
          </cell>
          <cell r="J468">
            <v>0</v>
          </cell>
        </row>
        <row r="469">
          <cell r="C469" t="str">
            <v>28B</v>
          </cell>
          <cell r="D469" t="str">
            <v>Surveys &amp; Opinion Polls</v>
          </cell>
          <cell r="E469">
            <v>0</v>
          </cell>
          <cell r="F469">
            <v>0</v>
          </cell>
          <cell r="G469" t="str">
            <v>Occ</v>
          </cell>
          <cell r="H469">
            <v>0</v>
          </cell>
          <cell r="I469">
            <v>0</v>
          </cell>
          <cell r="J469">
            <v>0</v>
          </cell>
        </row>
        <row r="470">
          <cell r="C470" t="str">
            <v>28C</v>
          </cell>
          <cell r="D470" t="str">
            <v>Newspapers and Books</v>
          </cell>
          <cell r="E470">
            <v>18</v>
          </cell>
          <cell r="F470">
            <v>0</v>
          </cell>
          <cell r="G470" t="str">
            <v>Occ</v>
          </cell>
          <cell r="H470">
            <v>0</v>
          </cell>
          <cell r="I470">
            <v>0</v>
          </cell>
          <cell r="J470">
            <v>0</v>
          </cell>
        </row>
        <row r="471">
          <cell r="C471" t="str">
            <v>28D</v>
          </cell>
          <cell r="D471" t="str">
            <v>Search Engines</v>
          </cell>
          <cell r="E471">
            <v>0</v>
          </cell>
          <cell r="F471">
            <v>0</v>
          </cell>
          <cell r="G471" t="str">
            <v>Occ</v>
          </cell>
          <cell r="H471">
            <v>0</v>
          </cell>
          <cell r="I471">
            <v>0</v>
          </cell>
          <cell r="J471">
            <v>0</v>
          </cell>
        </row>
        <row r="472">
          <cell r="C472" t="str">
            <v>28E</v>
          </cell>
          <cell r="D472" t="str">
            <v>Transcriptions &amp; Translations</v>
          </cell>
          <cell r="E472">
            <v>0</v>
          </cell>
          <cell r="F472">
            <v>0</v>
          </cell>
          <cell r="G472" t="str">
            <v>Occ</v>
          </cell>
          <cell r="H472">
            <v>0</v>
          </cell>
          <cell r="I472">
            <v>0</v>
          </cell>
          <cell r="J472">
            <v>0</v>
          </cell>
        </row>
        <row r="473">
          <cell r="C473" t="str">
            <v>28F</v>
          </cell>
          <cell r="D473" t="str">
            <v>Recce Costs</v>
          </cell>
          <cell r="E473">
            <v>0</v>
          </cell>
          <cell r="F473">
            <v>0</v>
          </cell>
          <cell r="G473" t="str">
            <v>Occ</v>
          </cell>
          <cell r="H473">
            <v>0</v>
          </cell>
          <cell r="I473">
            <v>0</v>
          </cell>
          <cell r="J473">
            <v>0</v>
          </cell>
        </row>
        <row r="474">
          <cell r="C474" t="str">
            <v>28G</v>
          </cell>
          <cell r="D474" t="str">
            <v>Advertising</v>
          </cell>
          <cell r="E474">
            <v>0</v>
          </cell>
          <cell r="F474">
            <v>0</v>
          </cell>
          <cell r="G474" t="str">
            <v>Occ</v>
          </cell>
          <cell r="H474">
            <v>0</v>
          </cell>
          <cell r="I474">
            <v>0</v>
          </cell>
          <cell r="J474">
            <v>0</v>
          </cell>
        </row>
        <row r="475">
          <cell r="C475" t="str">
            <v>28H</v>
          </cell>
          <cell r="D475" t="str">
            <v>Cleaning</v>
          </cell>
          <cell r="E475">
            <v>0</v>
          </cell>
          <cell r="F475">
            <v>0</v>
          </cell>
          <cell r="G475" t="str">
            <v>Occ</v>
          </cell>
          <cell r="H475">
            <v>0</v>
          </cell>
          <cell r="I475">
            <v>0</v>
          </cell>
          <cell r="J475">
            <v>0</v>
          </cell>
        </row>
        <row r="476">
          <cell r="C476" t="str">
            <v>28I</v>
          </cell>
          <cell r="D476" t="str">
            <v>Stationery</v>
          </cell>
          <cell r="E476">
            <v>0</v>
          </cell>
          <cell r="F476">
            <v>0</v>
          </cell>
          <cell r="G476" t="str">
            <v>Occ</v>
          </cell>
          <cell r="H476">
            <v>0</v>
          </cell>
          <cell r="I476">
            <v>0</v>
          </cell>
          <cell r="J476">
            <v>0</v>
          </cell>
        </row>
        <row r="477">
          <cell r="C477" t="str">
            <v>28J</v>
          </cell>
          <cell r="D477" t="str">
            <v>Duplicating / Printing</v>
          </cell>
          <cell r="E477">
            <v>0</v>
          </cell>
          <cell r="F477">
            <v>0</v>
          </cell>
          <cell r="G477" t="str">
            <v>Occ</v>
          </cell>
          <cell r="H477">
            <v>0</v>
          </cell>
          <cell r="I477">
            <v>0</v>
          </cell>
          <cell r="J477">
            <v>0</v>
          </cell>
        </row>
        <row r="478">
          <cell r="C478" t="str">
            <v>28K</v>
          </cell>
          <cell r="D478" t="str">
            <v>Office Equipment</v>
          </cell>
          <cell r="E478">
            <v>0</v>
          </cell>
          <cell r="F478">
            <v>0</v>
          </cell>
          <cell r="G478" t="str">
            <v>Occ</v>
          </cell>
          <cell r="H478">
            <v>0</v>
          </cell>
          <cell r="I478">
            <v>0</v>
          </cell>
          <cell r="J478">
            <v>0</v>
          </cell>
        </row>
        <row r="479">
          <cell r="C479" t="str">
            <v>28L</v>
          </cell>
          <cell r="D479" t="str">
            <v>Phones / Fax</v>
          </cell>
          <cell r="E479">
            <v>0</v>
          </cell>
          <cell r="F479">
            <v>0</v>
          </cell>
          <cell r="G479" t="str">
            <v>Occ</v>
          </cell>
          <cell r="H479">
            <v>0</v>
          </cell>
          <cell r="I479">
            <v>0</v>
          </cell>
          <cell r="J479">
            <v>0</v>
          </cell>
        </row>
        <row r="480">
          <cell r="C480" t="str">
            <v>28M</v>
          </cell>
          <cell r="D480" t="str">
            <v>Mobile Phones</v>
          </cell>
          <cell r="E480">
            <v>0</v>
          </cell>
          <cell r="F480">
            <v>0</v>
          </cell>
          <cell r="G480" t="str">
            <v>Occ</v>
          </cell>
          <cell r="H480">
            <v>0</v>
          </cell>
          <cell r="I480">
            <v>0</v>
          </cell>
          <cell r="J480">
            <v>0</v>
          </cell>
        </row>
        <row r="481">
          <cell r="C481" t="str">
            <v>28N</v>
          </cell>
          <cell r="D481" t="str">
            <v>Press / Photography</v>
          </cell>
          <cell r="E481">
            <v>0</v>
          </cell>
          <cell r="F481">
            <v>0</v>
          </cell>
          <cell r="G481" t="str">
            <v>Occ</v>
          </cell>
          <cell r="H481">
            <v>0</v>
          </cell>
          <cell r="I481">
            <v>0</v>
          </cell>
          <cell r="J481">
            <v>0</v>
          </cell>
        </row>
        <row r="482">
          <cell r="C482" t="str">
            <v>28O</v>
          </cell>
          <cell r="D482" t="str">
            <v>Postage</v>
          </cell>
          <cell r="E482">
            <v>0</v>
          </cell>
          <cell r="F482">
            <v>0</v>
          </cell>
          <cell r="G482" t="str">
            <v>Occ</v>
          </cell>
          <cell r="H482">
            <v>0</v>
          </cell>
          <cell r="I482">
            <v>0</v>
          </cell>
          <cell r="J482">
            <v>0</v>
          </cell>
        </row>
        <row r="483">
          <cell r="C483" t="str">
            <v>28P</v>
          </cell>
          <cell r="D483" t="str">
            <v>Press Association Fees</v>
          </cell>
          <cell r="E483">
            <v>24</v>
          </cell>
          <cell r="F483">
            <v>0</v>
          </cell>
          <cell r="G483" t="str">
            <v>Occ</v>
          </cell>
          <cell r="H483">
            <v>0</v>
          </cell>
          <cell r="I483">
            <v>0</v>
          </cell>
          <cell r="J483">
            <v>0</v>
          </cell>
        </row>
        <row r="484">
          <cell r="C484" t="str">
            <v>28Q</v>
          </cell>
          <cell r="D484" t="str">
            <v>Programme Back-Up</v>
          </cell>
          <cell r="E484">
            <v>6</v>
          </cell>
          <cell r="F484">
            <v>0</v>
          </cell>
          <cell r="G484" t="str">
            <v>Occ</v>
          </cell>
          <cell r="H484">
            <v>0</v>
          </cell>
          <cell r="I484">
            <v>0</v>
          </cell>
          <cell r="J484">
            <v>0</v>
          </cell>
        </row>
        <row r="485">
          <cell r="C485" t="str">
            <v>28Q</v>
          </cell>
          <cell r="D485" t="str">
            <v>Programme Back-Up</v>
          </cell>
          <cell r="E485">
            <v>24</v>
          </cell>
          <cell r="F485">
            <v>0</v>
          </cell>
          <cell r="G485" t="str">
            <v>Occ</v>
          </cell>
          <cell r="H485">
            <v>0</v>
          </cell>
          <cell r="I485">
            <v>0</v>
          </cell>
          <cell r="J485">
            <v>0</v>
          </cell>
        </row>
        <row r="486">
          <cell r="C486" t="str">
            <v>28R</v>
          </cell>
          <cell r="D486" t="str">
            <v>Protective Clothing</v>
          </cell>
          <cell r="F486">
            <v>0</v>
          </cell>
          <cell r="G486" t="str">
            <v>Occ</v>
          </cell>
          <cell r="H486">
            <v>0</v>
          </cell>
          <cell r="I486">
            <v>0</v>
          </cell>
          <cell r="J486">
            <v>0</v>
          </cell>
        </row>
        <row r="487">
          <cell r="C487" t="str">
            <v>28S</v>
          </cell>
          <cell r="D487" t="str">
            <v>Sundries</v>
          </cell>
          <cell r="F487">
            <v>0</v>
          </cell>
          <cell r="G487" t="str">
            <v>Occ</v>
          </cell>
          <cell r="H487">
            <v>0</v>
          </cell>
          <cell r="I487">
            <v>0</v>
          </cell>
          <cell r="J487">
            <v>0</v>
          </cell>
        </row>
        <row r="488">
          <cell r="C488" t="str">
            <v>28Sub Total</v>
          </cell>
          <cell r="E488" t="str">
            <v>Sub Total</v>
          </cell>
          <cell r="I488">
            <v>0</v>
          </cell>
          <cell r="J488">
            <v>0</v>
          </cell>
        </row>
        <row r="489">
          <cell r="C489" t="str">
            <v>Other Production Costs</v>
          </cell>
          <cell r="H489" t="str">
            <v>Ep</v>
          </cell>
          <cell r="I489" t="str">
            <v>Series</v>
          </cell>
          <cell r="J489">
            <v>0</v>
          </cell>
        </row>
        <row r="490">
          <cell r="I490">
            <v>0</v>
          </cell>
          <cell r="J490">
            <v>0</v>
          </cell>
        </row>
        <row r="491">
          <cell r="C491" t="str">
            <v>29</v>
          </cell>
          <cell r="D491" t="str">
            <v xml:space="preserve"> Finance / Legal</v>
          </cell>
          <cell r="E491">
            <v>0</v>
          </cell>
          <cell r="F491" t="str">
            <v>Occ</v>
          </cell>
          <cell r="G491">
            <v>0</v>
          </cell>
          <cell r="H491">
            <v>0</v>
          </cell>
          <cell r="I491" t="str">
            <v>Per Ep</v>
          </cell>
          <cell r="J491">
            <v>0</v>
          </cell>
        </row>
        <row r="492">
          <cell r="C492" t="str">
            <v>Surveys &amp; Opinion Polls</v>
          </cell>
          <cell r="E492">
            <v>0</v>
          </cell>
          <cell r="F492" t="str">
            <v>Occ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</row>
        <row r="493">
          <cell r="C493" t="str">
            <v>29B</v>
          </cell>
          <cell r="D493" t="str">
            <v>Legal Fees / Services</v>
          </cell>
          <cell r="E493">
            <v>0</v>
          </cell>
          <cell r="F493">
            <v>0</v>
          </cell>
          <cell r="G493" t="str">
            <v>Occ</v>
          </cell>
          <cell r="H493">
            <v>0</v>
          </cell>
          <cell r="I493">
            <v>0</v>
          </cell>
          <cell r="J493">
            <v>0</v>
          </cell>
        </row>
        <row r="494">
          <cell r="C494" t="str">
            <v>29C</v>
          </cell>
          <cell r="D494" t="str">
            <v>Compliance Costs</v>
          </cell>
          <cell r="F494">
            <v>0</v>
          </cell>
          <cell r="G494" t="str">
            <v>Occ</v>
          </cell>
          <cell r="H494">
            <v>0</v>
          </cell>
          <cell r="I494">
            <v>0</v>
          </cell>
          <cell r="J494">
            <v>0</v>
          </cell>
        </row>
        <row r="495">
          <cell r="C495" t="str">
            <v>29D</v>
          </cell>
          <cell r="D495" t="str">
            <v>Neg Checking</v>
          </cell>
          <cell r="E495">
            <v>0</v>
          </cell>
          <cell r="F495">
            <v>0</v>
          </cell>
          <cell r="G495" t="str">
            <v>Occ</v>
          </cell>
          <cell r="H495">
            <v>0</v>
          </cell>
          <cell r="I495">
            <v>0</v>
          </cell>
          <cell r="J495">
            <v>0</v>
          </cell>
        </row>
        <row r="496">
          <cell r="C496" t="str">
            <v>29E</v>
          </cell>
          <cell r="D496" t="str">
            <v>Budget Preparation</v>
          </cell>
          <cell r="E496">
            <v>0</v>
          </cell>
          <cell r="F496">
            <v>0</v>
          </cell>
          <cell r="G496" t="str">
            <v>Occ</v>
          </cell>
          <cell r="H496">
            <v>0</v>
          </cell>
          <cell r="I496">
            <v>0</v>
          </cell>
          <cell r="J496">
            <v>0</v>
          </cell>
        </row>
        <row r="497">
          <cell r="C497" t="str">
            <v>29F</v>
          </cell>
          <cell r="D497" t="str">
            <v>Rebate Processing</v>
          </cell>
          <cell r="E497">
            <v>0</v>
          </cell>
          <cell r="F497">
            <v>0</v>
          </cell>
          <cell r="G497" t="str">
            <v>Occ</v>
          </cell>
          <cell r="H497">
            <v>0</v>
          </cell>
          <cell r="I497">
            <v>0</v>
          </cell>
          <cell r="J497">
            <v>0</v>
          </cell>
        </row>
        <row r="498">
          <cell r="C498" t="str">
            <v>29G</v>
          </cell>
          <cell r="D498" t="str">
            <v>Interest Charges / Cost Of Money</v>
          </cell>
          <cell r="E498">
            <v>0</v>
          </cell>
          <cell r="F498">
            <v>0</v>
          </cell>
          <cell r="G498" t="str">
            <v>Occ</v>
          </cell>
          <cell r="H498">
            <v>0</v>
          </cell>
          <cell r="I498">
            <v>0</v>
          </cell>
          <cell r="J498">
            <v>0</v>
          </cell>
        </row>
        <row r="499">
          <cell r="C499" t="str">
            <v>29Sub Total</v>
          </cell>
          <cell r="D499" t="str">
            <v>Allow</v>
          </cell>
          <cell r="E499" t="str">
            <v>Sub Total</v>
          </cell>
          <cell r="F499" t="str">
            <v>Occ</v>
          </cell>
          <cell r="G499">
            <v>100</v>
          </cell>
          <cell r="H499">
            <v>100</v>
          </cell>
          <cell r="I499">
            <v>0</v>
          </cell>
          <cell r="J499">
            <v>0</v>
          </cell>
        </row>
        <row r="500">
          <cell r="C500" t="str">
            <v>Duplicating / Printing</v>
          </cell>
          <cell r="E500">
            <v>0</v>
          </cell>
          <cell r="F500" t="str">
            <v>Occ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</row>
        <row r="501">
          <cell r="C501" t="str">
            <v>Office Equipment</v>
          </cell>
          <cell r="E501">
            <v>0</v>
          </cell>
          <cell r="F501" t="str">
            <v>Occ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</row>
        <row r="502">
          <cell r="C502" t="str">
            <v>30</v>
          </cell>
          <cell r="D502" t="str">
            <v>Production Overheads</v>
          </cell>
          <cell r="E502">
            <v>0</v>
          </cell>
          <cell r="F502" t="str">
            <v>Occ</v>
          </cell>
          <cell r="G502">
            <v>0</v>
          </cell>
          <cell r="H502">
            <v>0</v>
          </cell>
          <cell r="I502" t="str">
            <v>Per Ep</v>
          </cell>
          <cell r="J502">
            <v>0</v>
          </cell>
        </row>
        <row r="503">
          <cell r="C503" t="str">
            <v>Mobile Phones</v>
          </cell>
          <cell r="D503" t="str">
            <v>Mobile phones</v>
          </cell>
          <cell r="E503">
            <v>6</v>
          </cell>
          <cell r="F503" t="str">
            <v>Occ</v>
          </cell>
          <cell r="G503">
            <v>150</v>
          </cell>
          <cell r="H503">
            <v>150</v>
          </cell>
          <cell r="I503">
            <v>900</v>
          </cell>
          <cell r="J503">
            <v>0</v>
          </cell>
        </row>
        <row r="504">
          <cell r="C504" t="str">
            <v>30A</v>
          </cell>
          <cell r="D504" t="str">
            <v>Production Office</v>
          </cell>
          <cell r="E504">
            <v>0</v>
          </cell>
          <cell r="F504">
            <v>0</v>
          </cell>
          <cell r="G504" t="str">
            <v>Occ</v>
          </cell>
          <cell r="H504">
            <v>0</v>
          </cell>
          <cell r="I504">
            <v>0</v>
          </cell>
          <cell r="J504">
            <v>0</v>
          </cell>
        </row>
        <row r="505">
          <cell r="C505" t="str">
            <v>30B</v>
          </cell>
          <cell r="D505" t="str">
            <v>Computer Services / IT Support</v>
          </cell>
          <cell r="E505">
            <v>0</v>
          </cell>
          <cell r="F505">
            <v>0</v>
          </cell>
          <cell r="G505" t="str">
            <v>Occ</v>
          </cell>
          <cell r="H505">
            <v>0</v>
          </cell>
          <cell r="I505">
            <v>0</v>
          </cell>
          <cell r="J505">
            <v>0</v>
          </cell>
        </row>
        <row r="506">
          <cell r="C506" t="str">
            <v>30C</v>
          </cell>
          <cell r="D506" t="str">
            <v>Financial Processing / Wages / Banking</v>
          </cell>
          <cell r="E506">
            <v>0</v>
          </cell>
          <cell r="F506">
            <v>0</v>
          </cell>
          <cell r="G506" t="str">
            <v>Occ</v>
          </cell>
          <cell r="H506">
            <v>0</v>
          </cell>
          <cell r="I506">
            <v>0</v>
          </cell>
          <cell r="J506">
            <v>0</v>
          </cell>
        </row>
        <row r="507">
          <cell r="C507" t="str">
            <v>30D</v>
          </cell>
          <cell r="D507" t="str">
            <v>Production Audit</v>
          </cell>
          <cell r="F507">
            <v>0</v>
          </cell>
          <cell r="G507" t="str">
            <v>Occ</v>
          </cell>
          <cell r="H507">
            <v>0</v>
          </cell>
          <cell r="I507">
            <v>0</v>
          </cell>
          <cell r="J507">
            <v>0</v>
          </cell>
        </row>
        <row r="508">
          <cell r="C508" t="str">
            <v>30E</v>
          </cell>
          <cell r="D508" t="str">
            <v>Production Contracts</v>
          </cell>
          <cell r="E508">
            <v>6</v>
          </cell>
          <cell r="F508">
            <v>0</v>
          </cell>
          <cell r="G508" t="str">
            <v>Occ</v>
          </cell>
          <cell r="H508">
            <v>0</v>
          </cell>
          <cell r="I508">
            <v>0</v>
          </cell>
          <cell r="J508">
            <v>0</v>
          </cell>
        </row>
        <row r="509">
          <cell r="C509" t="str">
            <v>30F-00</v>
          </cell>
          <cell r="D509" t="str">
            <v>Miscellaneous Overheads</v>
          </cell>
          <cell r="E509" t="str">
            <v>Business Affairs Overheads</v>
          </cell>
          <cell r="F509">
            <v>0</v>
          </cell>
          <cell r="G509" t="str">
            <v>Hours</v>
          </cell>
          <cell r="H509">
            <v>1500</v>
          </cell>
          <cell r="I509">
            <v>0</v>
          </cell>
          <cell r="J509">
            <v>0</v>
          </cell>
        </row>
        <row r="510">
          <cell r="C510" t="str">
            <v>30F-01</v>
          </cell>
          <cell r="D510" t="str">
            <v>Miscellaneous Overheads</v>
          </cell>
          <cell r="E510">
            <v>0</v>
          </cell>
          <cell r="F510">
            <v>0</v>
          </cell>
          <cell r="G510" t="str">
            <v>Occ</v>
          </cell>
          <cell r="H510">
            <v>0</v>
          </cell>
          <cell r="I510">
            <v>0</v>
          </cell>
          <cell r="J510">
            <v>0</v>
          </cell>
        </row>
        <row r="511">
          <cell r="C511" t="str">
            <v>30G</v>
          </cell>
          <cell r="D511" t="str">
            <v>PACT Levy</v>
          </cell>
          <cell r="F511">
            <v>0</v>
          </cell>
          <cell r="G511" t="str">
            <v>Occ</v>
          </cell>
          <cell r="H511">
            <v>0</v>
          </cell>
          <cell r="I511">
            <v>0</v>
          </cell>
          <cell r="J511">
            <v>0</v>
          </cell>
        </row>
        <row r="512">
          <cell r="C512" t="str">
            <v>30Sub Total</v>
          </cell>
          <cell r="E512" t="str">
            <v>Sub Total</v>
          </cell>
          <cell r="I512">
            <v>0</v>
          </cell>
          <cell r="J512">
            <v>0</v>
          </cell>
        </row>
        <row r="513">
          <cell r="I513">
            <v>5289.37</v>
          </cell>
          <cell r="J513">
            <v>0</v>
          </cell>
        </row>
        <row r="514">
          <cell r="C514" t="str">
            <v xml:space="preserve"> Finance / Legal</v>
          </cell>
          <cell r="H514" t="str">
            <v>Ep</v>
          </cell>
          <cell r="I514" t="str">
            <v>Series</v>
          </cell>
          <cell r="J514">
            <v>0</v>
          </cell>
        </row>
      </sheetData>
      <sheetData sheetId="3"/>
      <sheetData sheetId="4" refreshError="1"/>
      <sheetData sheetId="5"/>
      <sheetData sheetId="6" refreshError="1"/>
      <sheetData sheetId="7" refreshError="1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6"/>
  <sheetViews>
    <sheetView workbookViewId="0">
      <selection activeCell="E10" sqref="E10"/>
    </sheetView>
  </sheetViews>
  <sheetFormatPr defaultRowHeight="12.75" x14ac:dyDescent="0.2"/>
  <cols>
    <col min="1" max="16384" width="9.140625" style="302"/>
  </cols>
  <sheetData>
    <row r="1" spans="1:1" x14ac:dyDescent="0.2">
      <c r="A1" s="301" t="s">
        <v>998</v>
      </c>
    </row>
    <row r="3" spans="1:1" x14ac:dyDescent="0.2">
      <c r="A3" s="302" t="s">
        <v>999</v>
      </c>
    </row>
    <row r="4" spans="1:1" x14ac:dyDescent="0.2">
      <c r="A4" s="302" t="s">
        <v>1000</v>
      </c>
    </row>
    <row r="6" spans="1:1" x14ac:dyDescent="0.2">
      <c r="A6" s="302" t="s">
        <v>1001</v>
      </c>
    </row>
  </sheetData>
  <phoneticPr fontId="7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M75"/>
  <sheetViews>
    <sheetView showGridLines="0" tabSelected="1" zoomScaleNormal="100" workbookViewId="0">
      <selection activeCell="P4" sqref="P4"/>
    </sheetView>
  </sheetViews>
  <sheetFormatPr defaultRowHeight="12.75" x14ac:dyDescent="0.2"/>
  <cols>
    <col min="1" max="1" width="2" style="45" customWidth="1"/>
    <col min="2" max="2" width="2.7109375" style="45" customWidth="1"/>
    <col min="3" max="3" width="4.5703125" style="45" customWidth="1"/>
    <col min="4" max="4" width="21.7109375" style="45" customWidth="1"/>
    <col min="5" max="5" width="12.28515625" style="45" customWidth="1"/>
    <col min="6" max="6" width="13" style="45" customWidth="1"/>
    <col min="7" max="7" width="13.140625" style="45" customWidth="1"/>
    <col min="8" max="8" width="11.7109375" style="45" customWidth="1"/>
    <col min="9" max="9" width="17.140625" style="45" customWidth="1"/>
    <col min="10" max="10" width="12.28515625" style="45" customWidth="1"/>
    <col min="11" max="11" width="2.7109375" style="45" customWidth="1"/>
    <col min="12" max="12" width="1.5703125" style="163" customWidth="1"/>
    <col min="13" max="16384" width="9.140625" style="163"/>
  </cols>
  <sheetData>
    <row r="1" spans="2:13" ht="13.5" thickBot="1" x14ac:dyDescent="0.25"/>
    <row r="2" spans="2:13" ht="13.5" thickBot="1" x14ac:dyDescent="0.25">
      <c r="B2" s="105"/>
      <c r="C2" s="106"/>
      <c r="D2" s="106"/>
      <c r="E2" s="106"/>
      <c r="F2" s="106"/>
      <c r="G2" s="106"/>
      <c r="H2" s="106"/>
      <c r="I2" s="106"/>
      <c r="J2" s="106"/>
      <c r="K2" s="107"/>
      <c r="M2" s="274" t="s">
        <v>977</v>
      </c>
    </row>
    <row r="3" spans="2:13" ht="15" x14ac:dyDescent="0.2">
      <c r="B3" s="108"/>
      <c r="C3" s="105"/>
      <c r="D3" s="106"/>
      <c r="E3" s="329" t="s">
        <v>0</v>
      </c>
      <c r="F3" s="329"/>
      <c r="G3" s="329"/>
      <c r="H3" s="329"/>
      <c r="I3" s="106"/>
      <c r="J3" s="107"/>
      <c r="K3" s="109"/>
      <c r="M3" s="274" t="s">
        <v>921</v>
      </c>
    </row>
    <row r="4" spans="2:13" x14ac:dyDescent="0.2">
      <c r="B4" s="108"/>
      <c r="C4" s="108"/>
      <c r="D4" s="110"/>
      <c r="E4" s="330" t="s">
        <v>1</v>
      </c>
      <c r="F4" s="330"/>
      <c r="G4" s="330"/>
      <c r="H4" s="330"/>
      <c r="I4" s="110"/>
      <c r="J4" s="109"/>
      <c r="K4" s="109"/>
      <c r="M4" s="274" t="s">
        <v>978</v>
      </c>
    </row>
    <row r="5" spans="2:13" x14ac:dyDescent="0.2">
      <c r="B5" s="108"/>
      <c r="C5" s="108"/>
      <c r="D5" s="110"/>
      <c r="E5" s="331" t="s">
        <v>2</v>
      </c>
      <c r="F5" s="331"/>
      <c r="G5" s="331"/>
      <c r="H5" s="331"/>
      <c r="I5" s="110"/>
      <c r="J5" s="109"/>
      <c r="K5" s="109"/>
      <c r="M5" s="274" t="s">
        <v>979</v>
      </c>
    </row>
    <row r="6" spans="2:13" x14ac:dyDescent="0.2">
      <c r="B6" s="108"/>
      <c r="C6" s="108"/>
      <c r="D6" s="110"/>
      <c r="E6" s="111"/>
      <c r="F6" s="111"/>
      <c r="G6" s="111"/>
      <c r="H6" s="111"/>
      <c r="I6" s="110"/>
      <c r="J6" s="109"/>
      <c r="K6" s="109"/>
      <c r="M6" s="274" t="s">
        <v>980</v>
      </c>
    </row>
    <row r="7" spans="2:13" ht="15" customHeight="1" thickBot="1" x14ac:dyDescent="0.25">
      <c r="B7" s="108"/>
      <c r="C7" s="108"/>
      <c r="D7" s="110"/>
      <c r="E7" s="110"/>
      <c r="F7" s="110"/>
      <c r="G7" s="110"/>
      <c r="H7" s="110"/>
      <c r="I7" s="110"/>
      <c r="J7" s="109"/>
      <c r="K7" s="109"/>
      <c r="M7" s="274" t="s">
        <v>981</v>
      </c>
    </row>
    <row r="8" spans="2:13" ht="13.5" thickBot="1" x14ac:dyDescent="0.25">
      <c r="B8" s="108"/>
      <c r="C8" s="108"/>
      <c r="D8" s="110" t="s">
        <v>71</v>
      </c>
      <c r="E8" s="332"/>
      <c r="F8" s="333"/>
      <c r="G8" s="110"/>
      <c r="H8" s="112">
        <f ca="1">TODAY()</f>
        <v>41681</v>
      </c>
      <c r="I8" s="110"/>
      <c r="J8" s="109"/>
      <c r="K8" s="109"/>
    </row>
    <row r="9" spans="2:13" x14ac:dyDescent="0.2">
      <c r="B9" s="108"/>
      <c r="C9" s="108"/>
      <c r="D9" s="110" t="s">
        <v>72</v>
      </c>
      <c r="E9" s="164"/>
      <c r="F9" s="126"/>
      <c r="G9" s="110"/>
      <c r="H9" s="110"/>
      <c r="I9" s="110"/>
      <c r="J9" s="109"/>
      <c r="K9" s="109"/>
    </row>
    <row r="10" spans="2:13" x14ac:dyDescent="0.2">
      <c r="B10" s="108"/>
      <c r="C10" s="108"/>
      <c r="D10" s="110" t="s">
        <v>73</v>
      </c>
      <c r="E10" s="123"/>
      <c r="F10" s="126" t="s">
        <v>1014</v>
      </c>
      <c r="G10" s="110"/>
      <c r="H10" s="110" t="s">
        <v>75</v>
      </c>
      <c r="I10" s="123"/>
      <c r="J10" s="109"/>
      <c r="K10" s="109"/>
    </row>
    <row r="11" spans="2:13" x14ac:dyDescent="0.2">
      <c r="B11" s="108"/>
      <c r="C11" s="108"/>
      <c r="D11" s="110" t="s">
        <v>74</v>
      </c>
      <c r="E11" s="124"/>
      <c r="F11" s="126"/>
      <c r="G11" s="110"/>
      <c r="H11" s="110" t="s">
        <v>77</v>
      </c>
      <c r="I11" s="123"/>
      <c r="J11" s="109"/>
      <c r="K11" s="109"/>
    </row>
    <row r="12" spans="2:13" x14ac:dyDescent="0.2">
      <c r="B12" s="108"/>
      <c r="C12" s="108"/>
      <c r="D12" s="110" t="s">
        <v>76</v>
      </c>
      <c r="E12" s="123"/>
      <c r="F12" s="126"/>
      <c r="G12" s="110"/>
      <c r="H12" s="45" t="s">
        <v>79</v>
      </c>
      <c r="I12" s="123"/>
      <c r="J12" s="109"/>
      <c r="K12" s="109"/>
    </row>
    <row r="13" spans="2:13" ht="13.5" thickBot="1" x14ac:dyDescent="0.25">
      <c r="B13" s="108"/>
      <c r="C13" s="113"/>
      <c r="D13" s="114" t="s">
        <v>78</v>
      </c>
      <c r="E13" s="125"/>
      <c r="F13" s="127"/>
      <c r="G13" s="114"/>
      <c r="H13" s="115"/>
      <c r="I13" s="116"/>
      <c r="J13" s="117"/>
      <c r="K13" s="109"/>
    </row>
    <row r="14" spans="2:13" ht="13.5" thickBot="1" x14ac:dyDescent="0.25">
      <c r="B14" s="108"/>
      <c r="C14" s="110"/>
      <c r="D14" s="110"/>
      <c r="E14" s="110"/>
      <c r="F14" s="110"/>
      <c r="G14" s="110"/>
      <c r="H14" s="110"/>
      <c r="I14" s="110"/>
      <c r="J14" s="110"/>
      <c r="K14" s="109"/>
    </row>
    <row r="15" spans="2:13" x14ac:dyDescent="0.2">
      <c r="B15" s="108"/>
      <c r="C15" s="105"/>
      <c r="D15" s="106"/>
      <c r="E15" s="106"/>
      <c r="F15" s="106"/>
      <c r="G15" s="106"/>
      <c r="H15" s="106"/>
      <c r="I15" s="106"/>
      <c r="J15" s="107"/>
      <c r="K15" s="109"/>
    </row>
    <row r="16" spans="2:13" x14ac:dyDescent="0.2">
      <c r="B16" s="108"/>
      <c r="C16" s="108"/>
      <c r="D16" s="118" t="s">
        <v>3</v>
      </c>
      <c r="E16" s="118"/>
      <c r="F16" s="118" t="s">
        <v>4</v>
      </c>
      <c r="G16" s="118" t="s">
        <v>5</v>
      </c>
      <c r="H16" s="118"/>
      <c r="I16" s="327" t="s">
        <v>70</v>
      </c>
      <c r="J16" s="328"/>
      <c r="K16" s="109"/>
    </row>
    <row r="17" spans="2:11" x14ac:dyDescent="0.2">
      <c r="B17" s="108"/>
      <c r="C17" s="108"/>
      <c r="D17" s="118"/>
      <c r="E17" s="118"/>
      <c r="F17" s="118" t="str">
        <f>IF(I12="EUR","€",IF(OR(I12="AUD",I12="USD"),"$","£"))</f>
        <v>£</v>
      </c>
      <c r="G17" s="118" t="str">
        <f>IF(I12="EUR","€",IF(OR(I12="AUD",I12="USD"),"$","£"))</f>
        <v>£</v>
      </c>
      <c r="H17" s="118"/>
      <c r="I17" s="118"/>
      <c r="J17" s="119"/>
      <c r="K17" s="109"/>
    </row>
    <row r="18" spans="2:11" x14ac:dyDescent="0.2">
      <c r="B18" s="108"/>
      <c r="C18" s="120" t="s">
        <v>6</v>
      </c>
      <c r="D18" s="110" t="s">
        <v>7</v>
      </c>
      <c r="E18" s="110"/>
      <c r="F18" s="121">
        <f t="shared" ref="F18:F49" si="0">IF(ISERROR(ROUND(G18/Eps,2)),0,(ROUND(G18/Eps,2)))</f>
        <v>0</v>
      </c>
      <c r="G18" s="121">
        <f>VLOOKUP(C18&amp;"Sub-Total",Detail!$B:$I,8,0)</f>
        <v>0</v>
      </c>
      <c r="H18" s="110"/>
      <c r="I18" s="325"/>
      <c r="J18" s="326"/>
      <c r="K18" s="109"/>
    </row>
    <row r="19" spans="2:11" x14ac:dyDescent="0.2">
      <c r="B19" s="108"/>
      <c r="C19" s="120" t="s">
        <v>8</v>
      </c>
      <c r="D19" s="110" t="s">
        <v>9</v>
      </c>
      <c r="E19" s="110"/>
      <c r="F19" s="121">
        <f t="shared" si="0"/>
        <v>0</v>
      </c>
      <c r="G19" s="121">
        <f>VLOOKUP(C19&amp;"Sub-Total",Detail!$B:$I,8,0)</f>
        <v>0</v>
      </c>
      <c r="H19" s="110"/>
      <c r="I19" s="325"/>
      <c r="J19" s="326"/>
      <c r="K19" s="109"/>
    </row>
    <row r="20" spans="2:11" x14ac:dyDescent="0.2">
      <c r="B20" s="108"/>
      <c r="C20" s="120" t="s">
        <v>10</v>
      </c>
      <c r="D20" s="110" t="s">
        <v>11</v>
      </c>
      <c r="E20" s="110"/>
      <c r="F20" s="121">
        <f t="shared" si="0"/>
        <v>0</v>
      </c>
      <c r="G20" s="121">
        <f>VLOOKUP(C20&amp;"Sub-Total",Detail!$B:$I,8,0)</f>
        <v>0</v>
      </c>
      <c r="H20" s="110"/>
      <c r="I20" s="325"/>
      <c r="J20" s="326"/>
      <c r="K20" s="109"/>
    </row>
    <row r="21" spans="2:11" x14ac:dyDescent="0.2">
      <c r="B21" s="108"/>
      <c r="C21" s="120" t="s">
        <v>12</v>
      </c>
      <c r="D21" s="110" t="s">
        <v>13</v>
      </c>
      <c r="E21" s="110"/>
      <c r="F21" s="121">
        <f t="shared" si="0"/>
        <v>0</v>
      </c>
      <c r="G21" s="121">
        <f>VLOOKUP(C21&amp;"Sub-Total",Detail!$B:$I,8,0)</f>
        <v>0</v>
      </c>
      <c r="H21" s="110"/>
      <c r="I21" s="325"/>
      <c r="J21" s="326"/>
      <c r="K21" s="109"/>
    </row>
    <row r="22" spans="2:11" x14ac:dyDescent="0.2">
      <c r="B22" s="108"/>
      <c r="C22" s="120" t="s">
        <v>14</v>
      </c>
      <c r="D22" s="110" t="s">
        <v>15</v>
      </c>
      <c r="E22" s="110"/>
      <c r="F22" s="121">
        <f t="shared" si="0"/>
        <v>0</v>
      </c>
      <c r="G22" s="121">
        <f>VLOOKUP(C22&amp;"Sub-Total",Detail!$B:$I,8,0)</f>
        <v>0</v>
      </c>
      <c r="H22" s="110"/>
      <c r="I22" s="325"/>
      <c r="J22" s="326"/>
      <c r="K22" s="109"/>
    </row>
    <row r="23" spans="2:11" x14ac:dyDescent="0.2">
      <c r="B23" s="108"/>
      <c r="C23" s="120" t="s">
        <v>16</v>
      </c>
      <c r="D23" s="110" t="s">
        <v>17</v>
      </c>
      <c r="E23" s="110"/>
      <c r="F23" s="121">
        <f t="shared" si="0"/>
        <v>0</v>
      </c>
      <c r="G23" s="121">
        <f>VLOOKUP(C23&amp;"Sub-Total",Detail!$B:$I,8,0)</f>
        <v>0</v>
      </c>
      <c r="H23" s="110"/>
      <c r="I23" s="325"/>
      <c r="J23" s="326"/>
      <c r="K23" s="109"/>
    </row>
    <row r="24" spans="2:11" x14ac:dyDescent="0.2">
      <c r="B24" s="108"/>
      <c r="C24" s="120" t="s">
        <v>18</v>
      </c>
      <c r="D24" s="110" t="s">
        <v>19</v>
      </c>
      <c r="E24" s="110"/>
      <c r="F24" s="121">
        <f t="shared" si="0"/>
        <v>0</v>
      </c>
      <c r="G24" s="121">
        <f>VLOOKUP(C24&amp;"Sub-Total",Detail!$B:$I,8,0)</f>
        <v>0</v>
      </c>
      <c r="H24" s="110"/>
      <c r="I24" s="325"/>
      <c r="J24" s="326"/>
      <c r="K24" s="109"/>
    </row>
    <row r="25" spans="2:11" x14ac:dyDescent="0.2">
      <c r="B25" s="108"/>
      <c r="C25" s="120" t="s">
        <v>20</v>
      </c>
      <c r="D25" s="110" t="s">
        <v>21</v>
      </c>
      <c r="E25" s="110"/>
      <c r="F25" s="121">
        <f t="shared" si="0"/>
        <v>0</v>
      </c>
      <c r="G25" s="121">
        <f>VLOOKUP(C25&amp;"Sub-Total",Detail!$B:$I,8,0)</f>
        <v>0</v>
      </c>
      <c r="H25" s="110"/>
      <c r="I25" s="325"/>
      <c r="J25" s="326"/>
      <c r="K25" s="109"/>
    </row>
    <row r="26" spans="2:11" x14ac:dyDescent="0.2">
      <c r="B26" s="108"/>
      <c r="C26" s="120" t="s">
        <v>22</v>
      </c>
      <c r="D26" s="110" t="s">
        <v>23</v>
      </c>
      <c r="E26" s="110"/>
      <c r="F26" s="121">
        <f t="shared" si="0"/>
        <v>0</v>
      </c>
      <c r="G26" s="121">
        <f>VLOOKUP(C26&amp;"Sub-Total",Detail!$B:$I,8,0)</f>
        <v>0</v>
      </c>
      <c r="H26" s="110"/>
      <c r="I26" s="325"/>
      <c r="J26" s="326"/>
      <c r="K26" s="109"/>
    </row>
    <row r="27" spans="2:11" x14ac:dyDescent="0.2">
      <c r="B27" s="108"/>
      <c r="C27" s="120" t="s">
        <v>24</v>
      </c>
      <c r="D27" s="110" t="s">
        <v>25</v>
      </c>
      <c r="E27" s="110"/>
      <c r="F27" s="121">
        <f t="shared" si="0"/>
        <v>0</v>
      </c>
      <c r="G27" s="121">
        <f>VLOOKUP(C27&amp;"Sub-Total",Detail!$B:$I,8,0)</f>
        <v>0</v>
      </c>
      <c r="H27" s="110"/>
      <c r="I27" s="325"/>
      <c r="J27" s="326"/>
      <c r="K27" s="109"/>
    </row>
    <row r="28" spans="2:11" x14ac:dyDescent="0.2">
      <c r="B28" s="108"/>
      <c r="C28" s="120" t="s">
        <v>26</v>
      </c>
      <c r="D28" s="110" t="s">
        <v>27</v>
      </c>
      <c r="E28" s="110"/>
      <c r="F28" s="121">
        <f t="shared" si="0"/>
        <v>0</v>
      </c>
      <c r="G28" s="121">
        <f>VLOOKUP(C28&amp;"Sub-Total",Detail!$B:$I,8,0)</f>
        <v>0</v>
      </c>
      <c r="H28" s="110"/>
      <c r="I28" s="325"/>
      <c r="J28" s="326"/>
      <c r="K28" s="109"/>
    </row>
    <row r="29" spans="2:11" x14ac:dyDescent="0.2">
      <c r="B29" s="108"/>
      <c r="C29" s="120" t="s">
        <v>28</v>
      </c>
      <c r="D29" s="110" t="s">
        <v>29</v>
      </c>
      <c r="E29" s="110"/>
      <c r="F29" s="121">
        <f t="shared" si="0"/>
        <v>0</v>
      </c>
      <c r="G29" s="121">
        <f>VLOOKUP(C29&amp;"Sub-Total",Detail!$B:$I,8,0)</f>
        <v>0</v>
      </c>
      <c r="H29" s="110"/>
      <c r="I29" s="325"/>
      <c r="J29" s="326"/>
      <c r="K29" s="109"/>
    </row>
    <row r="30" spans="2:11" x14ac:dyDescent="0.2">
      <c r="B30" s="108"/>
      <c r="C30" s="120" t="s">
        <v>30</v>
      </c>
      <c r="D30" s="110" t="s">
        <v>31</v>
      </c>
      <c r="E30" s="110"/>
      <c r="F30" s="121">
        <f t="shared" si="0"/>
        <v>0</v>
      </c>
      <c r="G30" s="121">
        <f>VLOOKUP(C30&amp;"Sub-Total",Detail!$B:$I,8,0)</f>
        <v>0</v>
      </c>
      <c r="H30" s="110"/>
      <c r="I30" s="325"/>
      <c r="J30" s="326"/>
      <c r="K30" s="109"/>
    </row>
    <row r="31" spans="2:11" x14ac:dyDescent="0.2">
      <c r="B31" s="108"/>
      <c r="C31" s="120" t="s">
        <v>32</v>
      </c>
      <c r="D31" s="110" t="s">
        <v>33</v>
      </c>
      <c r="E31" s="110"/>
      <c r="F31" s="121">
        <f t="shared" si="0"/>
        <v>0</v>
      </c>
      <c r="G31" s="121">
        <f>VLOOKUP(C31&amp;"Sub-Total",Detail!$B:$I,8,0)</f>
        <v>0</v>
      </c>
      <c r="H31" s="110"/>
      <c r="I31" s="325"/>
      <c r="J31" s="326"/>
      <c r="K31" s="109"/>
    </row>
    <row r="32" spans="2:11" x14ac:dyDescent="0.2">
      <c r="B32" s="108"/>
      <c r="C32" s="120" t="s">
        <v>34</v>
      </c>
      <c r="D32" s="110" t="s">
        <v>35</v>
      </c>
      <c r="E32" s="110"/>
      <c r="F32" s="121">
        <f t="shared" si="0"/>
        <v>0</v>
      </c>
      <c r="G32" s="121">
        <f>VLOOKUP(C32&amp;"Sub-Total",Detail!$B:$I,8,0)</f>
        <v>0</v>
      </c>
      <c r="H32" s="110"/>
      <c r="I32" s="325"/>
      <c r="J32" s="326"/>
      <c r="K32" s="109"/>
    </row>
    <row r="33" spans="2:11" x14ac:dyDescent="0.2">
      <c r="B33" s="108"/>
      <c r="C33" s="120" t="s">
        <v>36</v>
      </c>
      <c r="D33" s="110" t="s">
        <v>37</v>
      </c>
      <c r="E33" s="110"/>
      <c r="F33" s="121">
        <f t="shared" si="0"/>
        <v>0</v>
      </c>
      <c r="G33" s="121">
        <f>VLOOKUP(C33&amp;"Sub-Total",Detail!$B:$I,8,0)</f>
        <v>0</v>
      </c>
      <c r="H33" s="110"/>
      <c r="I33" s="325"/>
      <c r="J33" s="326"/>
      <c r="K33" s="109"/>
    </row>
    <row r="34" spans="2:11" x14ac:dyDescent="0.2">
      <c r="B34" s="108"/>
      <c r="C34" s="120" t="s">
        <v>38</v>
      </c>
      <c r="D34" s="110" t="s">
        <v>39</v>
      </c>
      <c r="E34" s="110"/>
      <c r="F34" s="121">
        <f t="shared" si="0"/>
        <v>0</v>
      </c>
      <c r="G34" s="121">
        <f>VLOOKUP(C34&amp;"Sub-Total",Detail!$B:$I,8,0)</f>
        <v>0</v>
      </c>
      <c r="H34" s="110"/>
      <c r="I34" s="325"/>
      <c r="J34" s="326"/>
      <c r="K34" s="109"/>
    </row>
    <row r="35" spans="2:11" x14ac:dyDescent="0.2">
      <c r="B35" s="108"/>
      <c r="C35" s="120" t="s">
        <v>40</v>
      </c>
      <c r="D35" s="110" t="s">
        <v>41</v>
      </c>
      <c r="E35" s="110"/>
      <c r="F35" s="121">
        <f t="shared" si="0"/>
        <v>0</v>
      </c>
      <c r="G35" s="121">
        <f>VLOOKUP(C35&amp;"Sub-Total",Detail!$B:$I,8,0)</f>
        <v>0</v>
      </c>
      <c r="H35" s="110"/>
      <c r="I35" s="325"/>
      <c r="J35" s="326"/>
      <c r="K35" s="109"/>
    </row>
    <row r="36" spans="2:11" x14ac:dyDescent="0.2">
      <c r="B36" s="108"/>
      <c r="C36" s="120" t="s">
        <v>42</v>
      </c>
      <c r="D36" s="110" t="s">
        <v>43</v>
      </c>
      <c r="E36" s="110"/>
      <c r="F36" s="121">
        <f t="shared" si="0"/>
        <v>0</v>
      </c>
      <c r="G36" s="121">
        <f>VLOOKUP(C36&amp;"Sub-Total",Detail!$B:$I,8,0)</f>
        <v>0</v>
      </c>
      <c r="H36" s="110"/>
      <c r="I36" s="325"/>
      <c r="J36" s="326"/>
      <c r="K36" s="109"/>
    </row>
    <row r="37" spans="2:11" x14ac:dyDescent="0.2">
      <c r="B37" s="108"/>
      <c r="C37" s="120" t="s">
        <v>44</v>
      </c>
      <c r="D37" s="110" t="s">
        <v>45</v>
      </c>
      <c r="E37" s="110"/>
      <c r="F37" s="121">
        <f t="shared" si="0"/>
        <v>0</v>
      </c>
      <c r="G37" s="121">
        <f>VLOOKUP(C37&amp;"Sub-Total",Detail!$B:$I,8,0)</f>
        <v>0</v>
      </c>
      <c r="H37" s="110"/>
      <c r="I37" s="325"/>
      <c r="J37" s="326"/>
      <c r="K37" s="109"/>
    </row>
    <row r="38" spans="2:11" x14ac:dyDescent="0.2">
      <c r="B38" s="108"/>
      <c r="C38" s="120" t="s">
        <v>46</v>
      </c>
      <c r="D38" s="110" t="s">
        <v>47</v>
      </c>
      <c r="E38" s="110"/>
      <c r="F38" s="121">
        <f t="shared" si="0"/>
        <v>0</v>
      </c>
      <c r="G38" s="121">
        <f>VLOOKUP(C38&amp;"Sub-Total",Detail!$B:$I,8,0)</f>
        <v>0</v>
      </c>
      <c r="H38" s="110"/>
      <c r="I38" s="325"/>
      <c r="J38" s="326"/>
      <c r="K38" s="109"/>
    </row>
    <row r="39" spans="2:11" x14ac:dyDescent="0.2">
      <c r="B39" s="108"/>
      <c r="C39" s="120" t="s">
        <v>48</v>
      </c>
      <c r="D39" s="110" t="s">
        <v>49</v>
      </c>
      <c r="E39" s="110"/>
      <c r="F39" s="121">
        <f t="shared" si="0"/>
        <v>0</v>
      </c>
      <c r="G39" s="121">
        <f>VLOOKUP(C39&amp;"Sub-Total",Detail!$B:$I,8,0)</f>
        <v>0</v>
      </c>
      <c r="H39" s="110"/>
      <c r="I39" s="325"/>
      <c r="J39" s="326"/>
      <c r="K39" s="109"/>
    </row>
    <row r="40" spans="2:11" x14ac:dyDescent="0.2">
      <c r="B40" s="108"/>
      <c r="C40" s="120" t="s">
        <v>50</v>
      </c>
      <c r="D40" s="110" t="s">
        <v>51</v>
      </c>
      <c r="E40" s="110"/>
      <c r="F40" s="121">
        <f t="shared" si="0"/>
        <v>0</v>
      </c>
      <c r="G40" s="121">
        <f>VLOOKUP(C40&amp;"Sub-Total",Detail!$B:$I,8,0)</f>
        <v>0</v>
      </c>
      <c r="H40" s="110"/>
      <c r="I40" s="325"/>
      <c r="J40" s="326"/>
      <c r="K40" s="109"/>
    </row>
    <row r="41" spans="2:11" x14ac:dyDescent="0.2">
      <c r="B41" s="108"/>
      <c r="C41" s="120" t="s">
        <v>52</v>
      </c>
      <c r="D41" s="110" t="s">
        <v>53</v>
      </c>
      <c r="E41" s="110"/>
      <c r="F41" s="121">
        <f t="shared" si="0"/>
        <v>0</v>
      </c>
      <c r="G41" s="121">
        <f>VLOOKUP(C41&amp;"Sub-Total",Detail!$B:$I,8,0)</f>
        <v>0</v>
      </c>
      <c r="H41" s="110"/>
      <c r="I41" s="325"/>
      <c r="J41" s="326"/>
      <c r="K41" s="109"/>
    </row>
    <row r="42" spans="2:11" x14ac:dyDescent="0.2">
      <c r="B42" s="108"/>
      <c r="C42" s="120" t="s">
        <v>54</v>
      </c>
      <c r="D42" s="110" t="s">
        <v>55</v>
      </c>
      <c r="E42" s="110"/>
      <c r="F42" s="121">
        <f t="shared" si="0"/>
        <v>0</v>
      </c>
      <c r="G42" s="121">
        <f>VLOOKUP(C42&amp;"Sub-Total",Detail!$B:$I,8,0)</f>
        <v>0</v>
      </c>
      <c r="H42" s="110"/>
      <c r="I42" s="325"/>
      <c r="J42" s="326"/>
      <c r="K42" s="109"/>
    </row>
    <row r="43" spans="2:11" x14ac:dyDescent="0.2">
      <c r="B43" s="108"/>
      <c r="C43" s="120" t="s">
        <v>56</v>
      </c>
      <c r="D43" s="110" t="s">
        <v>57</v>
      </c>
      <c r="E43" s="110"/>
      <c r="F43" s="121">
        <f t="shared" si="0"/>
        <v>0</v>
      </c>
      <c r="G43" s="121">
        <f>VLOOKUP(C43&amp;"Sub-Total",Detail!$B:$I,8,0)</f>
        <v>0</v>
      </c>
      <c r="H43" s="110"/>
      <c r="I43" s="325"/>
      <c r="J43" s="326"/>
      <c r="K43" s="109"/>
    </row>
    <row r="44" spans="2:11" x14ac:dyDescent="0.2">
      <c r="B44" s="108"/>
      <c r="C44" s="120" t="s">
        <v>58</v>
      </c>
      <c r="D44" s="110" t="s">
        <v>59</v>
      </c>
      <c r="E44" s="110"/>
      <c r="F44" s="121">
        <f t="shared" si="0"/>
        <v>0</v>
      </c>
      <c r="G44" s="121">
        <f>VLOOKUP(C44&amp;"Sub-Total",Detail!$B:$I,8,0)</f>
        <v>0</v>
      </c>
      <c r="H44" s="110"/>
      <c r="I44" s="325"/>
      <c r="J44" s="326"/>
      <c r="K44" s="109"/>
    </row>
    <row r="45" spans="2:11" x14ac:dyDescent="0.2">
      <c r="B45" s="108"/>
      <c r="C45" s="120" t="s">
        <v>60</v>
      </c>
      <c r="D45" s="110" t="s">
        <v>61</v>
      </c>
      <c r="E45" s="110"/>
      <c r="F45" s="121">
        <f t="shared" si="0"/>
        <v>0</v>
      </c>
      <c r="G45" s="121">
        <f>VLOOKUP(C45&amp;"Sub-Total",Detail!$B:$I,8,0)</f>
        <v>0</v>
      </c>
      <c r="H45" s="110"/>
      <c r="I45" s="325"/>
      <c r="J45" s="326"/>
      <c r="K45" s="109"/>
    </row>
    <row r="46" spans="2:11" x14ac:dyDescent="0.2">
      <c r="B46" s="108"/>
      <c r="C46" s="120" t="s">
        <v>62</v>
      </c>
      <c r="D46" s="110" t="s">
        <v>63</v>
      </c>
      <c r="E46" s="110"/>
      <c r="F46" s="121">
        <f t="shared" si="0"/>
        <v>0</v>
      </c>
      <c r="G46" s="121">
        <f>VLOOKUP(C46&amp;"Sub-Total",Detail!$B:$I,8,0)</f>
        <v>0</v>
      </c>
      <c r="H46" s="110"/>
      <c r="I46" s="325"/>
      <c r="J46" s="326"/>
      <c r="K46" s="109"/>
    </row>
    <row r="47" spans="2:11" x14ac:dyDescent="0.2">
      <c r="B47" s="108"/>
      <c r="C47" s="120" t="s">
        <v>64</v>
      </c>
      <c r="D47" s="110" t="s">
        <v>65</v>
      </c>
      <c r="E47" s="110"/>
      <c r="F47" s="121">
        <f t="shared" si="0"/>
        <v>0</v>
      </c>
      <c r="G47" s="121">
        <f>VLOOKUP(C47&amp;"Sub-Total",Detail!$B:$I,8,0)</f>
        <v>0</v>
      </c>
      <c r="H47" s="110"/>
      <c r="I47" s="325"/>
      <c r="J47" s="326"/>
      <c r="K47" s="109"/>
    </row>
    <row r="48" spans="2:11" x14ac:dyDescent="0.2">
      <c r="B48" s="108"/>
      <c r="C48" s="120" t="s">
        <v>66</v>
      </c>
      <c r="D48" s="110" t="s">
        <v>67</v>
      </c>
      <c r="E48" s="110"/>
      <c r="F48" s="121">
        <f t="shared" si="0"/>
        <v>0</v>
      </c>
      <c r="G48" s="121">
        <f>VLOOKUP(C48&amp;"Sub-Total",Detail!$B:$I,8,0)</f>
        <v>0</v>
      </c>
      <c r="H48" s="110"/>
      <c r="I48" s="325"/>
      <c r="J48" s="326"/>
      <c r="K48" s="109"/>
    </row>
    <row r="49" spans="2:11" x14ac:dyDescent="0.2">
      <c r="B49" s="108"/>
      <c r="C49" s="120" t="s">
        <v>68</v>
      </c>
      <c r="D49" s="110" t="s">
        <v>69</v>
      </c>
      <c r="E49" s="110"/>
      <c r="F49" s="121">
        <f t="shared" si="0"/>
        <v>0</v>
      </c>
      <c r="G49" s="121">
        <f>VLOOKUP(C49&amp;"Sub-Total",Detail!$B:$I,8,0)</f>
        <v>0</v>
      </c>
      <c r="H49" s="110"/>
      <c r="I49" s="325"/>
      <c r="J49" s="326"/>
      <c r="K49" s="109"/>
    </row>
    <row r="50" spans="2:11" x14ac:dyDescent="0.2">
      <c r="B50" s="108"/>
      <c r="C50" s="108"/>
      <c r="D50" s="110"/>
      <c r="E50" s="110"/>
      <c r="F50" s="110"/>
      <c r="G50" s="110"/>
      <c r="H50" s="110"/>
      <c r="I50" s="110"/>
      <c r="J50" s="109"/>
      <c r="K50" s="109"/>
    </row>
    <row r="51" spans="2:11" x14ac:dyDescent="0.2">
      <c r="B51" s="108"/>
      <c r="C51" s="108"/>
      <c r="D51" s="110"/>
      <c r="E51" s="110"/>
      <c r="F51" s="110"/>
      <c r="G51" s="110"/>
      <c r="H51" s="110"/>
      <c r="I51" s="110"/>
      <c r="J51" s="109"/>
      <c r="K51" s="109"/>
    </row>
    <row r="52" spans="2:11" x14ac:dyDescent="0.2">
      <c r="B52" s="108"/>
      <c r="C52" s="108"/>
      <c r="D52" s="110" t="s">
        <v>80</v>
      </c>
      <c r="E52" s="110"/>
      <c r="F52" s="110"/>
      <c r="G52" s="110"/>
      <c r="H52" s="110"/>
      <c r="I52" s="110"/>
      <c r="J52" s="109"/>
      <c r="K52" s="109"/>
    </row>
    <row r="53" spans="2:11" x14ac:dyDescent="0.2">
      <c r="B53" s="108"/>
      <c r="C53" s="108"/>
      <c r="D53" s="76" t="s">
        <v>81</v>
      </c>
      <c r="E53" s="110"/>
      <c r="F53" s="155">
        <f>SUM(F18:F51)</f>
        <v>0</v>
      </c>
      <c r="G53" s="156">
        <f>SUM(G18:G51)</f>
        <v>0</v>
      </c>
      <c r="H53" s="110"/>
      <c r="I53" s="110"/>
      <c r="J53" s="109"/>
      <c r="K53" s="109"/>
    </row>
    <row r="54" spans="2:11" x14ac:dyDescent="0.2">
      <c r="B54" s="108"/>
      <c r="C54" s="108"/>
      <c r="D54" s="76"/>
      <c r="E54" s="110"/>
      <c r="F54" s="157"/>
      <c r="G54" s="158"/>
      <c r="H54" s="110"/>
      <c r="I54" s="110"/>
      <c r="J54" s="109"/>
      <c r="K54" s="109"/>
    </row>
    <row r="55" spans="2:11" x14ac:dyDescent="0.2">
      <c r="B55" s="108"/>
      <c r="C55" s="108"/>
      <c r="D55" s="76" t="s">
        <v>82</v>
      </c>
      <c r="E55" s="104">
        <v>7.4999999999999997E-2</v>
      </c>
      <c r="F55" s="157">
        <f>ROUND(F53*$E55,2)</f>
        <v>0</v>
      </c>
      <c r="G55" s="158">
        <f>ROUND(G53*$E55,2)</f>
        <v>0</v>
      </c>
      <c r="H55" s="110"/>
      <c r="I55" s="110"/>
      <c r="J55" s="109"/>
      <c r="K55" s="109"/>
    </row>
    <row r="56" spans="2:11" x14ac:dyDescent="0.2">
      <c r="B56" s="108"/>
      <c r="C56" s="108"/>
      <c r="D56" s="76"/>
      <c r="E56" s="122"/>
      <c r="F56" s="157"/>
      <c r="G56" s="158"/>
      <c r="H56" s="110"/>
      <c r="I56" s="110"/>
      <c r="J56" s="109"/>
      <c r="K56" s="109"/>
    </row>
    <row r="57" spans="2:11" x14ac:dyDescent="0.2">
      <c r="B57" s="108"/>
      <c r="C57" s="108"/>
      <c r="D57" s="154" t="s">
        <v>83</v>
      </c>
      <c r="E57" s="122"/>
      <c r="F57" s="159">
        <f>F53+F55</f>
        <v>0</v>
      </c>
      <c r="G57" s="160">
        <f>G53+G55</f>
        <v>0</v>
      </c>
      <c r="H57" s="110"/>
      <c r="I57" s="110"/>
      <c r="J57" s="109"/>
      <c r="K57" s="109"/>
    </row>
    <row r="58" spans="2:11" x14ac:dyDescent="0.2">
      <c r="B58" s="108"/>
      <c r="C58" s="108"/>
      <c r="D58" s="76"/>
      <c r="E58" s="122"/>
      <c r="F58" s="157"/>
      <c r="G58" s="158"/>
      <c r="H58" s="110"/>
      <c r="I58" s="110"/>
      <c r="J58" s="109"/>
      <c r="K58" s="109"/>
    </row>
    <row r="59" spans="2:11" x14ac:dyDescent="0.2">
      <c r="B59" s="108"/>
      <c r="C59" s="108"/>
      <c r="D59" s="76" t="s">
        <v>84</v>
      </c>
      <c r="E59" s="104">
        <v>0.1</v>
      </c>
      <c r="F59" s="157">
        <f>ROUND(F57*$E59,2)</f>
        <v>0</v>
      </c>
      <c r="G59" s="158">
        <f>ROUND(G57*$E59,2)</f>
        <v>0</v>
      </c>
      <c r="H59" s="110"/>
      <c r="I59" s="110"/>
      <c r="J59" s="109"/>
      <c r="K59" s="109"/>
    </row>
    <row r="60" spans="2:11" x14ac:dyDescent="0.2">
      <c r="B60" s="108"/>
      <c r="C60" s="108"/>
      <c r="D60" s="76" t="s">
        <v>85</v>
      </c>
      <c r="E60" s="104">
        <v>7.4999999999999997E-3</v>
      </c>
      <c r="F60" s="157">
        <f>ROUND(F53*$E60,2)</f>
        <v>0</v>
      </c>
      <c r="G60" s="158">
        <f>ROUND(G53*$E60,2)</f>
        <v>0</v>
      </c>
      <c r="H60" s="110"/>
      <c r="I60" s="110"/>
      <c r="J60" s="109"/>
      <c r="K60" s="109"/>
    </row>
    <row r="61" spans="2:11" x14ac:dyDescent="0.2">
      <c r="B61" s="108"/>
      <c r="C61" s="108"/>
      <c r="D61" s="76"/>
      <c r="E61" s="110"/>
      <c r="F61" s="157"/>
      <c r="G61" s="158"/>
      <c r="H61" s="110"/>
      <c r="I61" s="110"/>
      <c r="J61" s="109"/>
      <c r="K61" s="109"/>
    </row>
    <row r="62" spans="2:11" x14ac:dyDescent="0.2">
      <c r="B62" s="108"/>
      <c r="C62" s="108"/>
      <c r="D62" s="76"/>
      <c r="E62" s="110"/>
      <c r="F62" s="157"/>
      <c r="G62" s="158"/>
      <c r="H62" s="110"/>
      <c r="I62" s="110"/>
      <c r="J62" s="109"/>
      <c r="K62" s="109"/>
    </row>
    <row r="63" spans="2:11" x14ac:dyDescent="0.2">
      <c r="B63" s="108"/>
      <c r="C63" s="108"/>
      <c r="D63" s="76" t="s">
        <v>1002</v>
      </c>
      <c r="E63" s="110"/>
      <c r="F63" s="157"/>
      <c r="G63" s="158"/>
      <c r="H63" s="110"/>
      <c r="I63" s="110"/>
      <c r="J63" s="109"/>
      <c r="K63" s="109"/>
    </row>
    <row r="64" spans="2:11" ht="14.25" x14ac:dyDescent="0.2">
      <c r="B64" s="108"/>
      <c r="C64" s="108"/>
      <c r="D64" s="76" t="s">
        <v>86</v>
      </c>
      <c r="E64" s="194" t="str">
        <f>Currency</f>
        <v>£</v>
      </c>
      <c r="F64" s="161">
        <f>SUM(F57:F63)</f>
        <v>0</v>
      </c>
      <c r="G64" s="162">
        <f>SUM(G57:G63)</f>
        <v>0</v>
      </c>
      <c r="H64" s="110"/>
      <c r="I64" s="110"/>
      <c r="J64" s="109"/>
      <c r="K64" s="109"/>
    </row>
    <row r="65" spans="2:11" x14ac:dyDescent="0.2">
      <c r="B65" s="108"/>
      <c r="C65" s="108"/>
      <c r="D65" s="110"/>
      <c r="E65" s="110"/>
      <c r="F65" s="110"/>
      <c r="G65" s="110"/>
      <c r="H65" s="110"/>
      <c r="I65" s="110"/>
      <c r="J65" s="109"/>
      <c r="K65" s="109"/>
    </row>
    <row r="66" spans="2:11" ht="13.5" thickBot="1" x14ac:dyDescent="0.25">
      <c r="B66" s="108"/>
      <c r="C66" s="113"/>
      <c r="D66" s="114"/>
      <c r="E66" s="114"/>
      <c r="F66" s="148">
        <f>Detail!H544-F53</f>
        <v>0</v>
      </c>
      <c r="G66" s="148">
        <f>Detail!I544-G53</f>
        <v>0</v>
      </c>
      <c r="H66" s="149" t="str">
        <f>IF(AND(F66=0,G66=0),"","Check against Detail page - values do not match")</f>
        <v/>
      </c>
      <c r="I66" s="114"/>
      <c r="J66" s="117"/>
      <c r="K66" s="109"/>
    </row>
    <row r="67" spans="2:11" ht="13.5" thickBot="1" x14ac:dyDescent="0.25">
      <c r="B67" s="108"/>
      <c r="C67" s="110"/>
      <c r="D67" s="110"/>
      <c r="E67" s="110"/>
      <c r="F67" s="110"/>
      <c r="G67" s="110"/>
      <c r="H67" s="110"/>
      <c r="I67" s="110"/>
      <c r="J67" s="110"/>
      <c r="K67" s="109"/>
    </row>
    <row r="68" spans="2:11" x14ac:dyDescent="0.2">
      <c r="B68" s="108"/>
      <c r="C68" s="105"/>
      <c r="D68" s="106"/>
      <c r="E68" s="106"/>
      <c r="F68" s="106"/>
      <c r="G68" s="106"/>
      <c r="H68" s="106"/>
      <c r="I68" s="106"/>
      <c r="J68" s="107"/>
      <c r="K68" s="109"/>
    </row>
    <row r="69" spans="2:11" x14ac:dyDescent="0.2">
      <c r="B69" s="108"/>
      <c r="C69" s="108"/>
      <c r="D69" s="110" t="s">
        <v>87</v>
      </c>
      <c r="E69" s="128"/>
      <c r="F69" s="110"/>
      <c r="G69" s="110" t="s">
        <v>88</v>
      </c>
      <c r="H69" s="128"/>
      <c r="I69" s="110"/>
      <c r="J69" s="109"/>
      <c r="K69" s="109"/>
    </row>
    <row r="70" spans="2:11" x14ac:dyDescent="0.2">
      <c r="B70" s="108"/>
      <c r="C70" s="108"/>
      <c r="D70" s="110" t="s">
        <v>89</v>
      </c>
      <c r="E70" s="128"/>
      <c r="F70" s="110"/>
      <c r="G70" s="110" t="s">
        <v>90</v>
      </c>
      <c r="H70" s="128"/>
      <c r="I70" s="110"/>
      <c r="J70" s="109"/>
      <c r="K70" s="109"/>
    </row>
    <row r="71" spans="2:11" x14ac:dyDescent="0.2">
      <c r="B71" s="108"/>
      <c r="C71" s="108"/>
      <c r="D71" s="110" t="s">
        <v>91</v>
      </c>
      <c r="E71" s="128"/>
      <c r="F71" s="110"/>
      <c r="G71" s="110" t="s">
        <v>49</v>
      </c>
      <c r="H71" s="128"/>
      <c r="I71" s="110"/>
      <c r="J71" s="109"/>
      <c r="K71" s="109"/>
    </row>
    <row r="72" spans="2:11" x14ac:dyDescent="0.2">
      <c r="B72" s="108"/>
      <c r="C72" s="108"/>
      <c r="D72" s="110" t="s">
        <v>92</v>
      </c>
      <c r="E72" s="128"/>
      <c r="F72" s="110"/>
      <c r="G72" s="110" t="s">
        <v>1004</v>
      </c>
      <c r="H72" s="128"/>
      <c r="I72" s="110"/>
      <c r="J72" s="109"/>
      <c r="K72" s="109"/>
    </row>
    <row r="73" spans="2:11" x14ac:dyDescent="0.2">
      <c r="B73" s="108"/>
      <c r="C73" s="108"/>
      <c r="D73" s="110" t="s">
        <v>93</v>
      </c>
      <c r="E73" s="128"/>
      <c r="F73" s="110"/>
      <c r="G73" s="110"/>
      <c r="H73" s="110"/>
      <c r="I73" s="110"/>
      <c r="J73" s="109"/>
      <c r="K73" s="109"/>
    </row>
    <row r="74" spans="2:11" ht="13.5" thickBot="1" x14ac:dyDescent="0.25">
      <c r="B74" s="108"/>
      <c r="C74" s="113"/>
      <c r="D74" s="114"/>
      <c r="E74" s="114"/>
      <c r="F74" s="114"/>
      <c r="G74" s="114"/>
      <c r="H74" s="114"/>
      <c r="I74" s="114"/>
      <c r="J74" s="117"/>
      <c r="K74" s="109"/>
    </row>
    <row r="75" spans="2:11" ht="13.5" thickBot="1" x14ac:dyDescent="0.25">
      <c r="B75" s="113"/>
      <c r="C75" s="114"/>
      <c r="D75" s="114"/>
      <c r="E75" s="114"/>
      <c r="F75" s="114"/>
      <c r="G75" s="114"/>
      <c r="H75" s="114"/>
      <c r="I75" s="114"/>
      <c r="J75" s="114"/>
      <c r="K75" s="117"/>
    </row>
  </sheetData>
  <sheetProtection formatCells="0" formatColumns="0" formatRows="0"/>
  <mergeCells count="37">
    <mergeCell ref="I24:J24"/>
    <mergeCell ref="I25:J25"/>
    <mergeCell ref="E3:H3"/>
    <mergeCell ref="E4:H4"/>
    <mergeCell ref="E5:H5"/>
    <mergeCell ref="E8:F8"/>
    <mergeCell ref="I42:J42"/>
    <mergeCell ref="I33:J33"/>
    <mergeCell ref="I34:J34"/>
    <mergeCell ref="I26:J26"/>
    <mergeCell ref="I27:J27"/>
    <mergeCell ref="I28:J28"/>
    <mergeCell ref="I29:J29"/>
    <mergeCell ref="I30:J30"/>
    <mergeCell ref="I31:J31"/>
    <mergeCell ref="I32:J32"/>
    <mergeCell ref="I37:J37"/>
    <mergeCell ref="I38:J38"/>
    <mergeCell ref="I39:J39"/>
    <mergeCell ref="I40:J40"/>
    <mergeCell ref="I41:J41"/>
    <mergeCell ref="I49:J49"/>
    <mergeCell ref="I16:J16"/>
    <mergeCell ref="I18:J18"/>
    <mergeCell ref="I19:J19"/>
    <mergeCell ref="I20:J20"/>
    <mergeCell ref="I21:J21"/>
    <mergeCell ref="I22:J22"/>
    <mergeCell ref="I23:J23"/>
    <mergeCell ref="I43:J43"/>
    <mergeCell ref="I44:J44"/>
    <mergeCell ref="I47:J47"/>
    <mergeCell ref="I48:J48"/>
    <mergeCell ref="I45:J45"/>
    <mergeCell ref="I46:J46"/>
    <mergeCell ref="I35:J35"/>
    <mergeCell ref="I36:J36"/>
  </mergeCells>
  <phoneticPr fontId="7" type="noConversion"/>
  <conditionalFormatting sqref="F66:G66">
    <cfRule type="cellIs" dxfId="7" priority="2" stopIfTrue="1" operator="equal">
      <formula>0</formula>
    </cfRule>
  </conditionalFormatting>
  <conditionalFormatting sqref="E59:E60 E55">
    <cfRule type="cellIs" dxfId="6" priority="1" stopIfTrue="1" operator="equal">
      <formula>0</formula>
    </cfRule>
  </conditionalFormatting>
  <dataValidations count="2">
    <dataValidation type="list" allowBlank="1" showInputMessage="1" showErrorMessage="1" sqref="I12">
      <formula1>"GBP, EUR, USD, AUD"</formula1>
    </dataValidation>
    <dataValidation type="list" allowBlank="1" showInputMessage="1" showErrorMessage="1" sqref="I11">
      <formula1>"SD, HD, SD and HD"</formula1>
    </dataValidation>
  </dataValidations>
  <hyperlinks>
    <hyperlink ref="M2" location="Detail!D9" display="Detail Page"/>
    <hyperlink ref="M3" location="Personnel!C14" display="Personnel"/>
    <hyperlink ref="M4" location="Crew!C13" display="Crew"/>
    <hyperlink ref="M6" location="Schedule!B9" display="Schedule"/>
    <hyperlink ref="M5" location="Comparison!H13" display="Comparison"/>
    <hyperlink ref="M7" location="Assumptions!A7" display="Assumptions"/>
  </hyperlinks>
  <pageMargins left="0.75" right="0.75" top="1" bottom="1" header="0.5" footer="0.5"/>
  <pageSetup paperSize="9" scale="73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PrintFront">
                <anchor moveWithCells="1" sizeWithCells="1">
                  <from>
                    <xdr:col>8</xdr:col>
                    <xdr:colOff>647700</xdr:colOff>
                    <xdr:row>4</xdr:row>
                    <xdr:rowOff>142875</xdr:rowOff>
                  </from>
                  <to>
                    <xdr:col>9</xdr:col>
                    <xdr:colOff>533400</xdr:colOff>
                    <xdr:row>6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B1:K547"/>
  <sheetViews>
    <sheetView showGridLines="0" zoomScale="85" zoomScaleNormal="85" workbookViewId="0">
      <pane ySplit="5" topLeftCell="A6" activePane="bottomLeft" state="frozen"/>
      <selection pane="bottomLeft" activeCell="D15" sqref="D15"/>
    </sheetView>
  </sheetViews>
  <sheetFormatPr defaultRowHeight="12.75" x14ac:dyDescent="0.2"/>
  <cols>
    <col min="1" max="1" width="1.5703125" style="1" customWidth="1"/>
    <col min="2" max="2" width="8.28515625" style="1" customWidth="1"/>
    <col min="3" max="4" width="44.28515625" style="1" customWidth="1"/>
    <col min="5" max="5" width="9.28515625" style="1" bestFit="1" customWidth="1"/>
    <col min="6" max="6" width="9.140625" style="1"/>
    <col min="7" max="7" width="10.85546875" style="1" bestFit="1" customWidth="1"/>
    <col min="8" max="8" width="14" style="92" customWidth="1"/>
    <col min="9" max="9" width="14" style="1" customWidth="1"/>
    <col min="10" max="10" width="1.5703125" style="1" customWidth="1"/>
    <col min="11" max="16384" width="9.140625" style="1"/>
  </cols>
  <sheetData>
    <row r="1" spans="2:9" x14ac:dyDescent="0.2">
      <c r="B1" s="165" t="s">
        <v>976</v>
      </c>
      <c r="D1" s="43">
        <f>Name</f>
        <v>0</v>
      </c>
    </row>
    <row r="2" spans="2:9" x14ac:dyDescent="0.2">
      <c r="D2" s="43">
        <f>Number</f>
        <v>0</v>
      </c>
    </row>
    <row r="3" spans="2:9" x14ac:dyDescent="0.2">
      <c r="C3" s="180"/>
      <c r="D3" s="174" t="s">
        <v>982</v>
      </c>
    </row>
    <row r="4" spans="2:9" ht="13.5" thickBot="1" x14ac:dyDescent="0.25"/>
    <row r="5" spans="2:9" ht="24.75" customHeight="1" thickBot="1" x14ac:dyDescent="0.25">
      <c r="B5" s="35" t="s">
        <v>94</v>
      </c>
      <c r="C5" s="36" t="s">
        <v>95</v>
      </c>
      <c r="D5" s="37" t="s">
        <v>96</v>
      </c>
      <c r="E5" s="38" t="s">
        <v>97</v>
      </c>
      <c r="F5" s="39" t="s">
        <v>98</v>
      </c>
      <c r="G5" s="40" t="s">
        <v>99</v>
      </c>
      <c r="H5" s="38" t="str">
        <f>"Per Ep "&amp;Currency</f>
        <v>Per Ep £</v>
      </c>
      <c r="I5" s="41" t="str">
        <f>"Series "&amp;Currency</f>
        <v>Series £</v>
      </c>
    </row>
    <row r="6" spans="2:9" x14ac:dyDescent="0.2">
      <c r="B6" s="2"/>
      <c r="C6" s="9"/>
      <c r="D6" s="11"/>
      <c r="E6" s="11"/>
      <c r="F6" s="11"/>
      <c r="G6" s="19"/>
      <c r="H6" s="94"/>
      <c r="I6" s="34">
        <f>I20</f>
        <v>0</v>
      </c>
    </row>
    <row r="7" spans="2:9" x14ac:dyDescent="0.2">
      <c r="B7" s="23" t="s">
        <v>6</v>
      </c>
      <c r="C7" s="21" t="s">
        <v>100</v>
      </c>
      <c r="D7" s="166"/>
      <c r="E7" s="95"/>
      <c r="F7" s="95"/>
      <c r="G7" s="96"/>
      <c r="H7" s="151">
        <f>IF(H20=0,0,"Ep")</f>
        <v>0</v>
      </c>
      <c r="I7" s="150">
        <f>IF(I20=0,0,"Series")</f>
        <v>0</v>
      </c>
    </row>
    <row r="8" spans="2:9" ht="7.5" customHeight="1" x14ac:dyDescent="0.2">
      <c r="B8" s="175"/>
      <c r="C8" s="91"/>
      <c r="D8" s="16"/>
      <c r="E8" s="20"/>
      <c r="F8" s="20"/>
      <c r="G8" s="15"/>
      <c r="H8" s="176"/>
      <c r="I8" s="29">
        <v>0</v>
      </c>
    </row>
    <row r="9" spans="2:9" x14ac:dyDescent="0.2">
      <c r="B9" s="139" t="s">
        <v>101</v>
      </c>
      <c r="C9" s="136" t="str">
        <f>VLOOKUP(LEFT(B9,3),Parameters!E:F,2,0)</f>
        <v>Writers Fees</v>
      </c>
      <c r="D9" s="79"/>
      <c r="E9" s="103"/>
      <c r="F9" s="129" t="s">
        <v>98</v>
      </c>
      <c r="G9" s="303">
        <v>0</v>
      </c>
      <c r="H9" s="305">
        <f t="shared" ref="H9:H19" si="0">IF(ISERROR(ROUND(I9/Eps,2)),0,ROUND(I9/Eps,2))</f>
        <v>0</v>
      </c>
      <c r="I9" s="306">
        <f>ROUND(E9*G9,2)</f>
        <v>0</v>
      </c>
    </row>
    <row r="10" spans="2:9" x14ac:dyDescent="0.2">
      <c r="B10" s="135" t="s">
        <v>103</v>
      </c>
      <c r="C10" s="136" t="str">
        <f>VLOOKUP(LEFT(B10,3),Parameters!E:F,2,0)</f>
        <v>Writers Repeat Fees</v>
      </c>
      <c r="D10" s="79"/>
      <c r="E10" s="103">
        <v>0</v>
      </c>
      <c r="F10" s="129" t="s">
        <v>98</v>
      </c>
      <c r="G10" s="303">
        <v>0</v>
      </c>
      <c r="H10" s="305">
        <f t="shared" si="0"/>
        <v>0</v>
      </c>
      <c r="I10" s="306">
        <f t="shared" ref="I10:I19" si="1">ROUND(E10*G10,2)</f>
        <v>0</v>
      </c>
    </row>
    <row r="11" spans="2:9" x14ac:dyDescent="0.2">
      <c r="B11" s="135" t="s">
        <v>105</v>
      </c>
      <c r="C11" s="136" t="str">
        <f>VLOOKUP(LEFT(B11,3),Parameters!E:F,2,0)</f>
        <v>Writers Pension</v>
      </c>
      <c r="D11" s="79"/>
      <c r="E11" s="103">
        <v>0</v>
      </c>
      <c r="F11" s="129" t="s">
        <v>98</v>
      </c>
      <c r="G11" s="303">
        <v>0</v>
      </c>
      <c r="H11" s="305">
        <f t="shared" si="0"/>
        <v>0</v>
      </c>
      <c r="I11" s="306">
        <f t="shared" si="1"/>
        <v>0</v>
      </c>
    </row>
    <row r="12" spans="2:9" x14ac:dyDescent="0.2">
      <c r="B12" s="135" t="s">
        <v>107</v>
      </c>
      <c r="C12" s="136" t="str">
        <f>VLOOKUP(LEFT(B12,3),Parameters!E:F,2,0)</f>
        <v>Scripts Team</v>
      </c>
      <c r="D12" s="79"/>
      <c r="E12" s="103">
        <v>0</v>
      </c>
      <c r="F12" s="129" t="s">
        <v>98</v>
      </c>
      <c r="G12" s="303">
        <v>0</v>
      </c>
      <c r="H12" s="305">
        <f t="shared" si="0"/>
        <v>0</v>
      </c>
      <c r="I12" s="306">
        <f t="shared" si="1"/>
        <v>0</v>
      </c>
    </row>
    <row r="13" spans="2:9" x14ac:dyDescent="0.2">
      <c r="B13" s="135" t="s">
        <v>109</v>
      </c>
      <c r="C13" s="136" t="str">
        <f>VLOOKUP(LEFT(B13,3),Parameters!E:F,2,0)</f>
        <v>Consultancy - Scripts</v>
      </c>
      <c r="D13" s="79"/>
      <c r="E13" s="103">
        <v>0</v>
      </c>
      <c r="F13" s="129" t="s">
        <v>98</v>
      </c>
      <c r="G13" s="303">
        <v>0</v>
      </c>
      <c r="H13" s="305">
        <f t="shared" si="0"/>
        <v>0</v>
      </c>
      <c r="I13" s="306">
        <f t="shared" si="1"/>
        <v>0</v>
      </c>
    </row>
    <row r="14" spans="2:9" x14ac:dyDescent="0.2">
      <c r="B14" s="135" t="s">
        <v>111</v>
      </c>
      <c r="C14" s="136" t="str">
        <f>VLOOKUP(LEFT(B14,3),Parameters!E:F,2,0)</f>
        <v>Rights / Format Fees</v>
      </c>
      <c r="D14" s="79"/>
      <c r="E14" s="103">
        <v>0</v>
      </c>
      <c r="F14" s="129" t="s">
        <v>98</v>
      </c>
      <c r="G14" s="303">
        <v>0</v>
      </c>
      <c r="H14" s="305">
        <f t="shared" si="0"/>
        <v>0</v>
      </c>
      <c r="I14" s="306">
        <f t="shared" si="1"/>
        <v>0</v>
      </c>
    </row>
    <row r="15" spans="2:9" x14ac:dyDescent="0.2">
      <c r="B15" s="135" t="s">
        <v>113</v>
      </c>
      <c r="C15" s="136" t="str">
        <f>VLOOKUP(LEFT(B15,3),Parameters!E:F,2,0)</f>
        <v>Uncommissioned Writers</v>
      </c>
      <c r="D15" s="79"/>
      <c r="E15" s="103">
        <v>0</v>
      </c>
      <c r="F15" s="129" t="s">
        <v>98</v>
      </c>
      <c r="G15" s="303">
        <v>0</v>
      </c>
      <c r="H15" s="305">
        <f t="shared" si="0"/>
        <v>0</v>
      </c>
      <c r="I15" s="306">
        <f t="shared" si="1"/>
        <v>0</v>
      </c>
    </row>
    <row r="16" spans="2:9" x14ac:dyDescent="0.2">
      <c r="B16" s="135" t="s">
        <v>115</v>
      </c>
      <c r="C16" s="136" t="str">
        <f>VLOOKUP(LEFT(B16,3),Parameters!E:F,2,0)</f>
        <v>Options</v>
      </c>
      <c r="D16" s="79"/>
      <c r="E16" s="103">
        <v>0</v>
      </c>
      <c r="F16" s="129" t="s">
        <v>98</v>
      </c>
      <c r="G16" s="303">
        <v>0</v>
      </c>
      <c r="H16" s="305">
        <f t="shared" si="0"/>
        <v>0</v>
      </c>
      <c r="I16" s="306">
        <f t="shared" si="1"/>
        <v>0</v>
      </c>
    </row>
    <row r="17" spans="2:11" x14ac:dyDescent="0.2">
      <c r="B17" s="135" t="s">
        <v>117</v>
      </c>
      <c r="C17" s="136" t="str">
        <f>VLOOKUP(LEFT(B17,3),Parameters!E:F,2,0)</f>
        <v>Development Costs</v>
      </c>
      <c r="D17" s="79"/>
      <c r="E17" s="103">
        <v>0</v>
      </c>
      <c r="F17" s="129" t="s">
        <v>98</v>
      </c>
      <c r="G17" s="303">
        <v>0</v>
      </c>
      <c r="H17" s="305">
        <f t="shared" si="0"/>
        <v>0</v>
      </c>
      <c r="I17" s="306">
        <f t="shared" si="1"/>
        <v>0</v>
      </c>
    </row>
    <row r="18" spans="2:11" x14ac:dyDescent="0.2">
      <c r="B18" s="135" t="s">
        <v>119</v>
      </c>
      <c r="C18" s="136" t="str">
        <f>VLOOKUP(LEFT(B18,3),Parameters!E:F,2,0)</f>
        <v>Storyboards</v>
      </c>
      <c r="D18" s="79"/>
      <c r="E18" s="103">
        <v>0</v>
      </c>
      <c r="F18" s="129" t="s">
        <v>98</v>
      </c>
      <c r="G18" s="303">
        <v>0</v>
      </c>
      <c r="H18" s="305">
        <f t="shared" si="0"/>
        <v>0</v>
      </c>
      <c r="I18" s="306">
        <f t="shared" si="1"/>
        <v>0</v>
      </c>
    </row>
    <row r="19" spans="2:11" x14ac:dyDescent="0.2">
      <c r="B19" s="137" t="s">
        <v>121</v>
      </c>
      <c r="C19" s="138" t="str">
        <f>VLOOKUP(LEFT(B19,3),Parameters!E:F,2,0)</f>
        <v>Create Advance Payment</v>
      </c>
      <c r="D19" s="131"/>
      <c r="E19" s="132">
        <v>0</v>
      </c>
      <c r="F19" s="133" t="s">
        <v>98</v>
      </c>
      <c r="G19" s="304">
        <v>0</v>
      </c>
      <c r="H19" s="307">
        <f t="shared" si="0"/>
        <v>0</v>
      </c>
      <c r="I19" s="308">
        <f t="shared" si="1"/>
        <v>0</v>
      </c>
    </row>
    <row r="20" spans="2:11" x14ac:dyDescent="0.2">
      <c r="B20" s="14" t="str">
        <f>B7&amp;D20</f>
        <v>01Sub-Total</v>
      </c>
      <c r="C20" s="15"/>
      <c r="D20" s="336" t="s">
        <v>907</v>
      </c>
      <c r="E20" s="337"/>
      <c r="F20" s="16"/>
      <c r="G20" s="15"/>
      <c r="H20" s="309">
        <f>SUM(H8:H19)</f>
        <v>0</v>
      </c>
      <c r="I20" s="310">
        <f>SUM(I8:I19)</f>
        <v>0</v>
      </c>
    </row>
    <row r="21" spans="2:11" ht="7.5" customHeight="1" x14ac:dyDescent="0.2">
      <c r="B21" s="2"/>
      <c r="C21" s="4"/>
      <c r="D21" s="4"/>
      <c r="E21" s="4"/>
      <c r="F21" s="4"/>
      <c r="G21" s="4"/>
      <c r="H21" s="5"/>
      <c r="I21" s="28">
        <f>I20</f>
        <v>0</v>
      </c>
    </row>
    <row r="22" spans="2:11" x14ac:dyDescent="0.2">
      <c r="B22" s="22"/>
      <c r="C22" s="8"/>
      <c r="D22" s="167"/>
      <c r="E22" s="17"/>
      <c r="F22" s="17"/>
      <c r="G22" s="18"/>
      <c r="H22" s="93"/>
      <c r="I22" s="27">
        <f>I29</f>
        <v>0</v>
      </c>
    </row>
    <row r="23" spans="2:11" x14ac:dyDescent="0.2">
      <c r="B23" s="23" t="s">
        <v>8</v>
      </c>
      <c r="C23" s="21" t="s">
        <v>908</v>
      </c>
      <c r="D23" s="168" t="s">
        <v>965</v>
      </c>
      <c r="E23" s="95"/>
      <c r="F23" s="95"/>
      <c r="G23" s="96"/>
      <c r="H23" s="151">
        <f>IF(H29=0,0,"Ep")</f>
        <v>0</v>
      </c>
      <c r="I23" s="150">
        <f>IF(I29=0,0,"Series")</f>
        <v>0</v>
      </c>
    </row>
    <row r="24" spans="2:11" ht="7.5" customHeight="1" x14ac:dyDescent="0.2">
      <c r="B24" s="175"/>
      <c r="C24" s="91"/>
      <c r="D24" s="16"/>
      <c r="E24" s="20"/>
      <c r="F24" s="20"/>
      <c r="G24" s="15"/>
      <c r="H24" s="176"/>
      <c r="I24" s="29">
        <v>0</v>
      </c>
    </row>
    <row r="25" spans="2:11" x14ac:dyDescent="0.2">
      <c r="B25" s="177" t="s">
        <v>8</v>
      </c>
      <c r="C25" s="9" t="s">
        <v>909</v>
      </c>
      <c r="D25" s="141"/>
      <c r="E25" s="178">
        <f>VLOOKUP($B25&amp;" Totals",Personnel!$A:$AB,12,0)+ROUND((VLOOKUP($B25&amp;" Totals",Personnel!$A:$AB,14,0)/5),1)</f>
        <v>0</v>
      </c>
      <c r="F25" s="32" t="s">
        <v>913</v>
      </c>
      <c r="G25" s="311"/>
      <c r="H25" s="305">
        <f>IF(ISERROR(ROUND(I25/Eps,2)),0,ROUND(I25/Eps,2))</f>
        <v>0</v>
      </c>
      <c r="I25" s="306">
        <f>VLOOKUP($B25&amp;" Totals",Personnel!$A:$AB,20,0)</f>
        <v>0</v>
      </c>
    </row>
    <row r="26" spans="2:11" x14ac:dyDescent="0.2">
      <c r="B26" s="12"/>
      <c r="C26" s="9" t="s">
        <v>910</v>
      </c>
      <c r="D26" s="141"/>
      <c r="E26" s="30">
        <v>1</v>
      </c>
      <c r="F26" s="32" t="s">
        <v>98</v>
      </c>
      <c r="G26" s="311">
        <f>VLOOKUP($B25&amp;" Totals",Personnel!$A:$AB,24,0)</f>
        <v>0</v>
      </c>
      <c r="H26" s="305">
        <f>IF(ISERROR(ROUND(I26/Eps,2)),0,ROUND(I26/Eps,2))</f>
        <v>0</v>
      </c>
      <c r="I26" s="306">
        <f>ROUND(E26*G26,2)</f>
        <v>0</v>
      </c>
    </row>
    <row r="27" spans="2:11" x14ac:dyDescent="0.2">
      <c r="B27" s="12"/>
      <c r="C27" s="9" t="s">
        <v>911</v>
      </c>
      <c r="D27" s="141"/>
      <c r="E27" s="30">
        <v>1</v>
      </c>
      <c r="F27" s="32" t="s">
        <v>98</v>
      </c>
      <c r="G27" s="311">
        <f>VLOOKUP($B25&amp;" Totals",Personnel!$A:$AB,26,0)</f>
        <v>0</v>
      </c>
      <c r="H27" s="305">
        <f>IF(ISERROR(ROUND(I27/Eps,2)),0,ROUND(I27/Eps,2))</f>
        <v>0</v>
      </c>
      <c r="I27" s="306">
        <f>ROUND(E27*G27,2)</f>
        <v>0</v>
      </c>
    </row>
    <row r="28" spans="2:11" x14ac:dyDescent="0.2">
      <c r="B28" s="13"/>
      <c r="C28" s="10" t="s">
        <v>912</v>
      </c>
      <c r="D28" s="142"/>
      <c r="E28" s="31">
        <v>1</v>
      </c>
      <c r="F28" s="33" t="s">
        <v>98</v>
      </c>
      <c r="G28" s="312">
        <f>VLOOKUP($B25&amp;" Totals",Personnel!$A:$AB,22,0)</f>
        <v>0</v>
      </c>
      <c r="H28" s="307">
        <f>IF(ISERROR(ROUND(I28/Eps,2)),0,ROUND(I28/Eps,2))</f>
        <v>0</v>
      </c>
      <c r="I28" s="308">
        <f>ROUND(E28*G28,2)</f>
        <v>0</v>
      </c>
    </row>
    <row r="29" spans="2:11" x14ac:dyDescent="0.2">
      <c r="B29" s="14" t="str">
        <f>B23&amp;D29</f>
        <v>02Sub-Total</v>
      </c>
      <c r="C29" s="15"/>
      <c r="D29" s="336" t="s">
        <v>907</v>
      </c>
      <c r="E29" s="337"/>
      <c r="F29" s="16"/>
      <c r="G29" s="15"/>
      <c r="H29" s="309">
        <f>SUM(H24:H28)</f>
        <v>0</v>
      </c>
      <c r="I29" s="310">
        <f>ROUND(SUM(I24:I28),2)</f>
        <v>0</v>
      </c>
      <c r="J29" s="44"/>
      <c r="K29" s="296" t="str">
        <f>IF(AND((VLOOKUP($B25&amp;" Totals",Personnel!$A:$AB,28,0)-I29)&gt;-1,(VLOOKUP($B25&amp;" Totals",Personnel!$A:$AB,28,0)-I29)&lt;1),"","Check Personnel Page - Totals do not match")</f>
        <v/>
      </c>
    </row>
    <row r="30" spans="2:11" ht="7.5" customHeight="1" x14ac:dyDescent="0.2">
      <c r="B30" s="2"/>
      <c r="C30" s="4"/>
      <c r="D30" s="4"/>
      <c r="E30" s="4"/>
      <c r="F30" s="4"/>
      <c r="G30" s="4"/>
      <c r="H30" s="5"/>
      <c r="I30" s="28">
        <f>I29</f>
        <v>0</v>
      </c>
    </row>
    <row r="31" spans="2:11" x14ac:dyDescent="0.2">
      <c r="B31" s="22"/>
      <c r="C31" s="8"/>
      <c r="D31" s="167"/>
      <c r="E31" s="17"/>
      <c r="F31" s="17"/>
      <c r="G31" s="18"/>
      <c r="H31" s="93"/>
      <c r="I31" s="27">
        <f>I53</f>
        <v>0</v>
      </c>
    </row>
    <row r="32" spans="2:11" x14ac:dyDescent="0.2">
      <c r="B32" s="23" t="s">
        <v>10</v>
      </c>
      <c r="C32" s="21" t="s">
        <v>11</v>
      </c>
      <c r="D32" s="166"/>
      <c r="E32" s="95"/>
      <c r="F32" s="95"/>
      <c r="G32" s="96"/>
      <c r="H32" s="151">
        <f>IF(H53=0,0,"Ep")</f>
        <v>0</v>
      </c>
      <c r="I32" s="150">
        <f>IF(I53=0,0,"Series")</f>
        <v>0</v>
      </c>
    </row>
    <row r="33" spans="2:9" ht="7.5" customHeight="1" x14ac:dyDescent="0.2">
      <c r="B33" s="175"/>
      <c r="C33" s="91"/>
      <c r="D33" s="16"/>
      <c r="E33" s="20"/>
      <c r="F33" s="20"/>
      <c r="G33" s="15"/>
      <c r="H33" s="176"/>
      <c r="I33" s="29">
        <v>0</v>
      </c>
    </row>
    <row r="34" spans="2:9" x14ac:dyDescent="0.2">
      <c r="B34" s="139" t="s">
        <v>138</v>
      </c>
      <c r="C34" s="136" t="str">
        <f>VLOOKUP(LEFT(B34,3),Parameters!E:F,2,0)</f>
        <v>Performers Fees</v>
      </c>
      <c r="D34" s="79"/>
      <c r="E34" s="103">
        <v>0</v>
      </c>
      <c r="F34" s="129" t="s">
        <v>98</v>
      </c>
      <c r="G34" s="303">
        <v>0</v>
      </c>
      <c r="H34" s="305">
        <f t="shared" ref="H34:H52" si="2">IF(ISERROR(ROUND(I34/Eps,2)),0,ROUND(I34/Eps,2))</f>
        <v>0</v>
      </c>
      <c r="I34" s="306">
        <f>ROUND(E34*G34,2)</f>
        <v>0</v>
      </c>
    </row>
    <row r="35" spans="2:9" x14ac:dyDescent="0.2">
      <c r="B35" s="139" t="s">
        <v>140</v>
      </c>
      <c r="C35" s="126" t="str">
        <f>VLOOKUP(LEFT(B35,3),Parameters!E:F,2,0)</f>
        <v>Performers Repeat Fees</v>
      </c>
      <c r="D35" s="79"/>
      <c r="E35" s="103">
        <v>0</v>
      </c>
      <c r="F35" s="129" t="s">
        <v>98</v>
      </c>
      <c r="G35" s="303">
        <v>0</v>
      </c>
      <c r="H35" s="305">
        <f t="shared" si="2"/>
        <v>0</v>
      </c>
      <c r="I35" s="306">
        <f>ROUND(E35*G35,2)</f>
        <v>0</v>
      </c>
    </row>
    <row r="36" spans="2:9" x14ac:dyDescent="0.2">
      <c r="B36" s="139" t="s">
        <v>142</v>
      </c>
      <c r="C36" s="126" t="str">
        <f>VLOOKUP(LEFT(B36,3),Parameters!E:F,2,0)</f>
        <v>Performers Holiday Pay</v>
      </c>
      <c r="D36" s="79"/>
      <c r="E36" s="103">
        <v>0</v>
      </c>
      <c r="F36" s="129" t="s">
        <v>98</v>
      </c>
      <c r="G36" s="303">
        <v>0</v>
      </c>
      <c r="H36" s="305">
        <f t="shared" si="2"/>
        <v>0</v>
      </c>
      <c r="I36" s="306">
        <f>ROUND(E36*G36,2)</f>
        <v>0</v>
      </c>
    </row>
    <row r="37" spans="2:9" x14ac:dyDescent="0.2">
      <c r="B37" s="139" t="s">
        <v>144</v>
      </c>
      <c r="C37" s="126" t="str">
        <f>VLOOKUP(LEFT(B37,3),Parameters!E:F,2,0)</f>
        <v>Performers National Insurance (13.8%)</v>
      </c>
      <c r="D37" s="79"/>
      <c r="E37" s="103">
        <v>0</v>
      </c>
      <c r="F37" s="129" t="s">
        <v>98</v>
      </c>
      <c r="G37" s="303">
        <v>0</v>
      </c>
      <c r="H37" s="305">
        <f t="shared" si="2"/>
        <v>0</v>
      </c>
      <c r="I37" s="306">
        <f t="shared" ref="I37:I52" si="3">ROUND(E37*G37,2)</f>
        <v>0</v>
      </c>
    </row>
    <row r="38" spans="2:9" x14ac:dyDescent="0.2">
      <c r="B38" s="139" t="s">
        <v>145</v>
      </c>
      <c r="C38" s="126" t="str">
        <f>VLOOKUP(LEFT(B38,3),Parameters!E:F,2,0)</f>
        <v>Production Days</v>
      </c>
      <c r="D38" s="79"/>
      <c r="E38" s="103">
        <v>0</v>
      </c>
      <c r="F38" s="129" t="s">
        <v>98</v>
      </c>
      <c r="G38" s="303">
        <v>0</v>
      </c>
      <c r="H38" s="305">
        <f t="shared" si="2"/>
        <v>0</v>
      </c>
      <c r="I38" s="306">
        <f t="shared" si="3"/>
        <v>0</v>
      </c>
    </row>
    <row r="39" spans="2:9" x14ac:dyDescent="0.2">
      <c r="B39" s="139" t="s">
        <v>147</v>
      </c>
      <c r="C39" s="126" t="str">
        <f>VLOOKUP(LEFT(B39,3),Parameters!E:F,2,0)</f>
        <v>Make-Up / Wardrobe Attendance Days</v>
      </c>
      <c r="D39" s="79"/>
      <c r="E39" s="103">
        <v>0</v>
      </c>
      <c r="F39" s="129" t="s">
        <v>98</v>
      </c>
      <c r="G39" s="303">
        <v>0</v>
      </c>
      <c r="H39" s="305">
        <f t="shared" si="2"/>
        <v>0</v>
      </c>
      <c r="I39" s="306">
        <f t="shared" si="3"/>
        <v>0</v>
      </c>
    </row>
    <row r="40" spans="2:9" x14ac:dyDescent="0.2">
      <c r="B40" s="139" t="s">
        <v>149</v>
      </c>
      <c r="C40" s="126" t="str">
        <f>VLOOKUP(LEFT(B40,3),Parameters!E:F,2,0)</f>
        <v>Rehearsal/Stand-By Days</v>
      </c>
      <c r="D40" s="79"/>
      <c r="E40" s="103">
        <v>0</v>
      </c>
      <c r="F40" s="129" t="s">
        <v>98</v>
      </c>
      <c r="G40" s="303">
        <v>0</v>
      </c>
      <c r="H40" s="305">
        <f t="shared" si="2"/>
        <v>0</v>
      </c>
      <c r="I40" s="306">
        <f t="shared" si="3"/>
        <v>0</v>
      </c>
    </row>
    <row r="41" spans="2:9" x14ac:dyDescent="0.2">
      <c r="B41" s="139" t="s">
        <v>151</v>
      </c>
      <c r="C41" s="126" t="str">
        <f>VLOOKUP(LEFT(B41,3),Parameters!E:F,2,0)</f>
        <v>Performers Overtime</v>
      </c>
      <c r="D41" s="79"/>
      <c r="E41" s="103">
        <v>0</v>
      </c>
      <c r="F41" s="129" t="s">
        <v>98</v>
      </c>
      <c r="G41" s="303">
        <v>0</v>
      </c>
      <c r="H41" s="305">
        <f t="shared" si="2"/>
        <v>0</v>
      </c>
      <c r="I41" s="306">
        <f t="shared" si="3"/>
        <v>0</v>
      </c>
    </row>
    <row r="42" spans="2:9" x14ac:dyDescent="0.2">
      <c r="B42" s="139" t="s">
        <v>153</v>
      </c>
      <c r="C42" s="126" t="str">
        <f>VLOOKUP(LEFT(B42,3),Parameters!E:F,2,0)</f>
        <v>Stunts</v>
      </c>
      <c r="D42" s="79"/>
      <c r="E42" s="103">
        <v>0</v>
      </c>
      <c r="F42" s="129" t="s">
        <v>98</v>
      </c>
      <c r="G42" s="303">
        <v>0</v>
      </c>
      <c r="H42" s="305">
        <f t="shared" si="2"/>
        <v>0</v>
      </c>
      <c r="I42" s="306">
        <f t="shared" si="3"/>
        <v>0</v>
      </c>
    </row>
    <row r="43" spans="2:9" x14ac:dyDescent="0.2">
      <c r="B43" s="139" t="s">
        <v>155</v>
      </c>
      <c r="C43" s="126" t="str">
        <f>VLOOKUP(LEFT(B43,3),Parameters!E:F,2,0)</f>
        <v>Choreographer</v>
      </c>
      <c r="D43" s="79"/>
      <c r="E43" s="103">
        <v>0</v>
      </c>
      <c r="F43" s="129" t="s">
        <v>98</v>
      </c>
      <c r="G43" s="303">
        <v>0</v>
      </c>
      <c r="H43" s="305">
        <f t="shared" si="2"/>
        <v>0</v>
      </c>
      <c r="I43" s="306">
        <f t="shared" si="3"/>
        <v>0</v>
      </c>
    </row>
    <row r="44" spans="2:9" x14ac:dyDescent="0.2">
      <c r="B44" s="139" t="s">
        <v>157</v>
      </c>
      <c r="C44" s="126" t="str">
        <f>VLOOKUP(LEFT(B44,3),Parameters!E:F,2,0)</f>
        <v>Chaperones / Tutors</v>
      </c>
      <c r="D44" s="79"/>
      <c r="E44" s="103">
        <v>0</v>
      </c>
      <c r="F44" s="129" t="s">
        <v>98</v>
      </c>
      <c r="G44" s="303">
        <v>0</v>
      </c>
      <c r="H44" s="305">
        <f t="shared" si="2"/>
        <v>0</v>
      </c>
      <c r="I44" s="306">
        <f t="shared" si="3"/>
        <v>0</v>
      </c>
    </row>
    <row r="45" spans="2:9" x14ac:dyDescent="0.2">
      <c r="B45" s="139" t="s">
        <v>159</v>
      </c>
      <c r="C45" s="126" t="str">
        <f>VLOOKUP(LEFT(B45,3),Parameters!E:F,2,0)</f>
        <v>Puppeteers</v>
      </c>
      <c r="D45" s="79"/>
      <c r="E45" s="103">
        <v>0</v>
      </c>
      <c r="F45" s="129" t="s">
        <v>98</v>
      </c>
      <c r="G45" s="303">
        <v>0</v>
      </c>
      <c r="H45" s="305">
        <f t="shared" si="2"/>
        <v>0</v>
      </c>
      <c r="I45" s="306">
        <f t="shared" si="3"/>
        <v>0</v>
      </c>
    </row>
    <row r="46" spans="2:9" x14ac:dyDescent="0.2">
      <c r="B46" s="139" t="s">
        <v>161</v>
      </c>
      <c r="C46" s="126" t="str">
        <f>VLOOKUP(LEFT(B46,3),Parameters!E:F,2,0)</f>
        <v>Extras / Walk-Ons</v>
      </c>
      <c r="D46" s="79"/>
      <c r="E46" s="103">
        <v>0</v>
      </c>
      <c r="F46" s="129" t="s">
        <v>98</v>
      </c>
      <c r="G46" s="303">
        <v>0</v>
      </c>
      <c r="H46" s="305">
        <f t="shared" si="2"/>
        <v>0</v>
      </c>
      <c r="I46" s="306">
        <f t="shared" si="3"/>
        <v>0</v>
      </c>
    </row>
    <row r="47" spans="2:9" x14ac:dyDescent="0.2">
      <c r="B47" s="139" t="s">
        <v>163</v>
      </c>
      <c r="C47" s="126" t="str">
        <f>VLOOKUP(LEFT(B47,3),Parameters!E:F,2,0)</f>
        <v>Doubles &amp; Stand-Ins</v>
      </c>
      <c r="D47" s="79"/>
      <c r="E47" s="103">
        <v>0</v>
      </c>
      <c r="F47" s="129" t="s">
        <v>98</v>
      </c>
      <c r="G47" s="303">
        <v>0</v>
      </c>
      <c r="H47" s="305">
        <f t="shared" si="2"/>
        <v>0</v>
      </c>
      <c r="I47" s="306">
        <f t="shared" si="3"/>
        <v>0</v>
      </c>
    </row>
    <row r="48" spans="2:9" x14ac:dyDescent="0.2">
      <c r="B48" s="139" t="s">
        <v>165</v>
      </c>
      <c r="C48" s="126" t="str">
        <f>VLOOKUP(LEFT(B48,3),Parameters!E:F,2,0)</f>
        <v>Dancers</v>
      </c>
      <c r="D48" s="79"/>
      <c r="E48" s="103">
        <v>0</v>
      </c>
      <c r="F48" s="129" t="s">
        <v>98</v>
      </c>
      <c r="G48" s="303">
        <v>0</v>
      </c>
      <c r="H48" s="305">
        <f t="shared" si="2"/>
        <v>0</v>
      </c>
      <c r="I48" s="306">
        <f t="shared" si="3"/>
        <v>0</v>
      </c>
    </row>
    <row r="49" spans="2:9" x14ac:dyDescent="0.2">
      <c r="B49" s="139" t="s">
        <v>167</v>
      </c>
      <c r="C49" s="126" t="str">
        <f>VLOOKUP(LEFT(B49,3),Parameters!E:F,2,0)</f>
        <v>Backing Vocals</v>
      </c>
      <c r="D49" s="79"/>
      <c r="E49" s="103">
        <v>0</v>
      </c>
      <c r="F49" s="129" t="s">
        <v>98</v>
      </c>
      <c r="G49" s="303">
        <v>0</v>
      </c>
      <c r="H49" s="305">
        <f t="shared" si="2"/>
        <v>0</v>
      </c>
      <c r="I49" s="306">
        <f t="shared" si="3"/>
        <v>0</v>
      </c>
    </row>
    <row r="50" spans="2:9" x14ac:dyDescent="0.2">
      <c r="B50" s="139" t="s">
        <v>169</v>
      </c>
      <c r="C50" s="126" t="str">
        <f>VLOOKUP(LEFT(B50,3),Parameters!E:F,2,0)</f>
        <v>Warm-Up Artist</v>
      </c>
      <c r="D50" s="79"/>
      <c r="E50" s="103">
        <v>0</v>
      </c>
      <c r="F50" s="129" t="s">
        <v>98</v>
      </c>
      <c r="G50" s="303">
        <v>0</v>
      </c>
      <c r="H50" s="305">
        <f t="shared" si="2"/>
        <v>0</v>
      </c>
      <c r="I50" s="306">
        <f>ROUND(E50*G50,2)</f>
        <v>0</v>
      </c>
    </row>
    <row r="51" spans="2:9" x14ac:dyDescent="0.2">
      <c r="B51" s="139" t="s">
        <v>171</v>
      </c>
      <c r="C51" s="126" t="str">
        <f>VLOOKUP(LEFT(B51,3),Parameters!E:F,2,0)</f>
        <v>Performers National Insurance (13.8%)</v>
      </c>
      <c r="D51" s="79"/>
      <c r="E51" s="103">
        <v>0</v>
      </c>
      <c r="F51" s="129" t="s">
        <v>98</v>
      </c>
      <c r="G51" s="303">
        <v>0</v>
      </c>
      <c r="H51" s="305">
        <f t="shared" si="2"/>
        <v>0</v>
      </c>
      <c r="I51" s="306">
        <f>ROUND(E51*G51,2)</f>
        <v>0</v>
      </c>
    </row>
    <row r="52" spans="2:9" x14ac:dyDescent="0.2">
      <c r="B52" s="140" t="s">
        <v>172</v>
      </c>
      <c r="C52" s="126" t="str">
        <f>VLOOKUP(LEFT(B52,3),Parameters!E:F,2,0)</f>
        <v>Performers Guarentees</v>
      </c>
      <c r="D52" s="79"/>
      <c r="E52" s="103">
        <v>0</v>
      </c>
      <c r="F52" s="129" t="s">
        <v>98</v>
      </c>
      <c r="G52" s="303">
        <v>0</v>
      </c>
      <c r="H52" s="305">
        <f t="shared" si="2"/>
        <v>0</v>
      </c>
      <c r="I52" s="306">
        <f t="shared" si="3"/>
        <v>0</v>
      </c>
    </row>
    <row r="53" spans="2:9" x14ac:dyDescent="0.2">
      <c r="B53" s="14" t="str">
        <f>B32&amp;D53</f>
        <v>03Sub-Total</v>
      </c>
      <c r="C53" s="15"/>
      <c r="D53" s="336" t="s">
        <v>907</v>
      </c>
      <c r="E53" s="337"/>
      <c r="F53" s="16"/>
      <c r="G53" s="15"/>
      <c r="H53" s="309">
        <f>SUM(H33:H52)</f>
        <v>0</v>
      </c>
      <c r="I53" s="310">
        <f>SUM(I33:I52)</f>
        <v>0</v>
      </c>
    </row>
    <row r="54" spans="2:9" ht="7.5" customHeight="1" x14ac:dyDescent="0.2">
      <c r="B54" s="2"/>
      <c r="C54" s="4"/>
      <c r="D54" s="4"/>
      <c r="E54" s="4"/>
      <c r="F54" s="4"/>
      <c r="G54" s="4"/>
      <c r="H54" s="5"/>
      <c r="I54" s="28">
        <f>I53</f>
        <v>0</v>
      </c>
    </row>
    <row r="55" spans="2:9" x14ac:dyDescent="0.2">
      <c r="B55" s="22"/>
      <c r="C55" s="8"/>
      <c r="D55" s="167"/>
      <c r="E55" s="17"/>
      <c r="F55" s="17"/>
      <c r="G55" s="18"/>
      <c r="H55" s="93"/>
      <c r="I55" s="27">
        <f>I67</f>
        <v>0</v>
      </c>
    </row>
    <row r="56" spans="2:9" x14ac:dyDescent="0.2">
      <c r="B56" s="23" t="s">
        <v>12</v>
      </c>
      <c r="C56" s="21" t="s">
        <v>915</v>
      </c>
      <c r="D56" s="166"/>
      <c r="E56" s="95"/>
      <c r="F56" s="95"/>
      <c r="G56" s="96"/>
      <c r="H56" s="151">
        <f>IF(H67=0,0,"Ep")</f>
        <v>0</v>
      </c>
      <c r="I56" s="150">
        <f>IF(I67=0,0,"Series")</f>
        <v>0</v>
      </c>
    </row>
    <row r="57" spans="2:9" ht="7.5" customHeight="1" x14ac:dyDescent="0.2">
      <c r="B57" s="175"/>
      <c r="C57" s="91"/>
      <c r="D57" s="16"/>
      <c r="E57" s="20"/>
      <c r="F57" s="20"/>
      <c r="G57" s="15"/>
      <c r="H57" s="176"/>
      <c r="I57" s="29">
        <v>0</v>
      </c>
    </row>
    <row r="58" spans="2:9" x14ac:dyDescent="0.2">
      <c r="B58" s="139" t="s">
        <v>174</v>
      </c>
      <c r="C58" s="136" t="str">
        <f>VLOOKUP(LEFT(B58,3),Parameters!E:F,2,0)</f>
        <v>Presenters</v>
      </c>
      <c r="D58" s="79"/>
      <c r="E58" s="103">
        <v>0</v>
      </c>
      <c r="F58" s="129" t="s">
        <v>98</v>
      </c>
      <c r="G58" s="303">
        <v>0</v>
      </c>
      <c r="H58" s="305">
        <f t="shared" ref="H58:H66" si="4">IF(ISERROR(ROUND(I58/Eps,2)),0,ROUND(I58/Eps,2))</f>
        <v>0</v>
      </c>
      <c r="I58" s="306">
        <f>ROUND(E58*G58,2)</f>
        <v>0</v>
      </c>
    </row>
    <row r="59" spans="2:9" x14ac:dyDescent="0.2">
      <c r="B59" s="12" t="s">
        <v>176</v>
      </c>
      <c r="C59" s="4" t="str">
        <f>VLOOKUP(LEFT(B59,3),Parameters!E:F,2,0)</f>
        <v>Contributors</v>
      </c>
      <c r="D59" s="79"/>
      <c r="E59" s="103">
        <v>0</v>
      </c>
      <c r="F59" s="129" t="s">
        <v>98</v>
      </c>
      <c r="G59" s="303">
        <v>0</v>
      </c>
      <c r="H59" s="305">
        <f t="shared" si="4"/>
        <v>0</v>
      </c>
      <c r="I59" s="306">
        <f>ROUND(E59*G59,2)</f>
        <v>0</v>
      </c>
    </row>
    <row r="60" spans="2:9" x14ac:dyDescent="0.2">
      <c r="B60" s="12" t="s">
        <v>178</v>
      </c>
      <c r="C60" s="4" t="str">
        <f>VLOOKUP(LEFT(B60,3),Parameters!E:F,2,0)</f>
        <v>Narrators / Voice-Overs</v>
      </c>
      <c r="D60" s="79"/>
      <c r="E60" s="103">
        <v>0</v>
      </c>
      <c r="F60" s="129" t="s">
        <v>98</v>
      </c>
      <c r="G60" s="303">
        <v>0</v>
      </c>
      <c r="H60" s="305">
        <f t="shared" si="4"/>
        <v>0</v>
      </c>
      <c r="I60" s="306">
        <f t="shared" ref="I60:I66" si="5">ROUND(E60*G60,2)</f>
        <v>0</v>
      </c>
    </row>
    <row r="61" spans="2:9" x14ac:dyDescent="0.2">
      <c r="B61" s="12" t="s">
        <v>180</v>
      </c>
      <c r="C61" s="4" t="str">
        <f>VLOOKUP(LEFT(B61,3),Parameters!E:F,2,0)</f>
        <v>Guests / Interviewees</v>
      </c>
      <c r="D61" s="79"/>
      <c r="E61" s="103">
        <v>0</v>
      </c>
      <c r="F61" s="129" t="s">
        <v>98</v>
      </c>
      <c r="G61" s="303">
        <v>0</v>
      </c>
      <c r="H61" s="305">
        <f t="shared" si="4"/>
        <v>0</v>
      </c>
      <c r="I61" s="306">
        <f t="shared" si="5"/>
        <v>0</v>
      </c>
    </row>
    <row r="62" spans="2:9" x14ac:dyDescent="0.2">
      <c r="B62" s="12" t="s">
        <v>182</v>
      </c>
      <c r="C62" s="4" t="str">
        <f>VLOOKUP(LEFT(B62,3),Parameters!E:F,2,0)</f>
        <v>Consultants</v>
      </c>
      <c r="D62" s="79"/>
      <c r="E62" s="103">
        <v>0</v>
      </c>
      <c r="F62" s="129" t="s">
        <v>98</v>
      </c>
      <c r="G62" s="303">
        <v>0</v>
      </c>
      <c r="H62" s="305">
        <f t="shared" si="4"/>
        <v>0</v>
      </c>
      <c r="I62" s="306">
        <f t="shared" si="5"/>
        <v>0</v>
      </c>
    </row>
    <row r="63" spans="2:9" x14ac:dyDescent="0.2">
      <c r="B63" s="12" t="s">
        <v>184</v>
      </c>
      <c r="C63" s="4" t="s">
        <v>1003</v>
      </c>
      <c r="D63" s="79"/>
      <c r="E63" s="103">
        <v>0</v>
      </c>
      <c r="F63" s="129" t="s">
        <v>98</v>
      </c>
      <c r="G63" s="303">
        <v>0</v>
      </c>
      <c r="H63" s="305">
        <f t="shared" si="4"/>
        <v>0</v>
      </c>
      <c r="I63" s="306">
        <f t="shared" si="5"/>
        <v>0</v>
      </c>
    </row>
    <row r="64" spans="2:9" x14ac:dyDescent="0.2">
      <c r="B64" s="12" t="s">
        <v>186</v>
      </c>
      <c r="C64" s="4" t="str">
        <f>VLOOKUP(LEFT(B64,3),Parameters!E:F,2,0)</f>
        <v>Deaf Signer</v>
      </c>
      <c r="D64" s="79"/>
      <c r="E64" s="103">
        <v>0</v>
      </c>
      <c r="F64" s="129" t="s">
        <v>98</v>
      </c>
      <c r="G64" s="303">
        <v>0</v>
      </c>
      <c r="H64" s="305">
        <f t="shared" si="4"/>
        <v>0</v>
      </c>
      <c r="I64" s="306">
        <f t="shared" si="5"/>
        <v>0</v>
      </c>
    </row>
    <row r="65" spans="2:11" x14ac:dyDescent="0.2">
      <c r="B65" s="12" t="s">
        <v>188</v>
      </c>
      <c r="C65" s="4" t="str">
        <f>VLOOKUP(LEFT(B65,3),Parameters!E:F,2,0)</f>
        <v>Weather Presenter</v>
      </c>
      <c r="D65" s="79"/>
      <c r="E65" s="103">
        <v>0</v>
      </c>
      <c r="F65" s="129" t="s">
        <v>98</v>
      </c>
      <c r="G65" s="303">
        <v>0</v>
      </c>
      <c r="H65" s="305">
        <f t="shared" si="4"/>
        <v>0</v>
      </c>
      <c r="I65" s="306">
        <f t="shared" si="5"/>
        <v>0</v>
      </c>
    </row>
    <row r="66" spans="2:11" x14ac:dyDescent="0.2">
      <c r="B66" s="12" t="s">
        <v>190</v>
      </c>
      <c r="C66" s="4" t="str">
        <f>VLOOKUP(LEFT(B66,3),Parameters!E:F,2,0)</f>
        <v>Psychologist</v>
      </c>
      <c r="D66" s="79"/>
      <c r="E66" s="103">
        <v>0</v>
      </c>
      <c r="F66" s="129" t="s">
        <v>98</v>
      </c>
      <c r="G66" s="303">
        <v>0</v>
      </c>
      <c r="H66" s="305">
        <f t="shared" si="4"/>
        <v>0</v>
      </c>
      <c r="I66" s="306">
        <f t="shared" si="5"/>
        <v>0</v>
      </c>
    </row>
    <row r="67" spans="2:11" x14ac:dyDescent="0.2">
      <c r="B67" s="14" t="str">
        <f>B56&amp;D67</f>
        <v>04Sub-Total</v>
      </c>
      <c r="C67" s="15"/>
      <c r="D67" s="336" t="s">
        <v>907</v>
      </c>
      <c r="E67" s="337"/>
      <c r="F67" s="16"/>
      <c r="G67" s="15"/>
      <c r="H67" s="309">
        <f>SUM(H57:H66)</f>
        <v>0</v>
      </c>
      <c r="I67" s="310">
        <f>SUM(I57:I66)</f>
        <v>0</v>
      </c>
    </row>
    <row r="68" spans="2:11" ht="7.5" customHeight="1" x14ac:dyDescent="0.2">
      <c r="B68" s="2"/>
      <c r="C68" s="4"/>
      <c r="D68" s="4"/>
      <c r="E68" s="4"/>
      <c r="F68" s="4"/>
      <c r="G68" s="4"/>
      <c r="H68" s="5"/>
      <c r="I68" s="28">
        <f>I67</f>
        <v>0</v>
      </c>
    </row>
    <row r="69" spans="2:11" x14ac:dyDescent="0.2">
      <c r="B69" s="22"/>
      <c r="C69" s="8"/>
      <c r="D69" s="167"/>
      <c r="E69" s="17"/>
      <c r="F69" s="17"/>
      <c r="G69" s="18"/>
      <c r="H69" s="93"/>
      <c r="I69" s="27">
        <f>I76</f>
        <v>0</v>
      </c>
    </row>
    <row r="70" spans="2:11" x14ac:dyDescent="0.2">
      <c r="B70" s="23" t="s">
        <v>14</v>
      </c>
      <c r="C70" s="21" t="s">
        <v>15</v>
      </c>
      <c r="D70" s="169" t="s">
        <v>965</v>
      </c>
      <c r="E70" s="95"/>
      <c r="F70" s="95"/>
      <c r="G70" s="96"/>
      <c r="H70" s="151">
        <f>IF(H76=0,0,"Ep")</f>
        <v>0</v>
      </c>
      <c r="I70" s="150">
        <f>IF(I76=0,0,"Series")</f>
        <v>0</v>
      </c>
    </row>
    <row r="71" spans="2:11" ht="7.5" customHeight="1" x14ac:dyDescent="0.2">
      <c r="B71" s="175"/>
      <c r="C71" s="91"/>
      <c r="D71" s="16"/>
      <c r="E71" s="20"/>
      <c r="F71" s="20"/>
      <c r="G71" s="15"/>
      <c r="H71" s="176"/>
      <c r="I71" s="29">
        <v>0</v>
      </c>
    </row>
    <row r="72" spans="2:11" x14ac:dyDescent="0.2">
      <c r="B72" s="177" t="s">
        <v>14</v>
      </c>
      <c r="C72" s="9" t="s">
        <v>909</v>
      </c>
      <c r="D72" s="141"/>
      <c r="E72" s="178">
        <f>VLOOKUP($B72&amp;" Totals",Personnel!$A:$AB,12,0)+ROUND((VLOOKUP($B72&amp;" Totals",Personnel!$A:$AB,14,0)/5),1)</f>
        <v>0</v>
      </c>
      <c r="F72" s="32" t="s">
        <v>913</v>
      </c>
      <c r="G72" s="311"/>
      <c r="H72" s="305">
        <f>IF(ISERROR(ROUND(I72/Eps,2)),0,ROUND(I72/Eps,2))</f>
        <v>0</v>
      </c>
      <c r="I72" s="306">
        <f>VLOOKUP($B72&amp;" Totals",Personnel!$A:$AB,20,0)</f>
        <v>0</v>
      </c>
    </row>
    <row r="73" spans="2:11" x14ac:dyDescent="0.2">
      <c r="B73" s="12"/>
      <c r="C73" s="9" t="s">
        <v>910</v>
      </c>
      <c r="D73" s="141"/>
      <c r="E73" s="30">
        <v>1</v>
      </c>
      <c r="F73" s="32" t="s">
        <v>98</v>
      </c>
      <c r="G73" s="311">
        <f>VLOOKUP($B72&amp;" Totals",Personnel!$A:$AB,24,0)</f>
        <v>0</v>
      </c>
      <c r="H73" s="305">
        <f>IF(ISERROR(ROUND(I73/Eps,2)),0,ROUND(I73/Eps,2))</f>
        <v>0</v>
      </c>
      <c r="I73" s="306">
        <f>ROUND(E73*G73,2)</f>
        <v>0</v>
      </c>
    </row>
    <row r="74" spans="2:11" x14ac:dyDescent="0.2">
      <c r="B74" s="12"/>
      <c r="C74" s="9" t="s">
        <v>911</v>
      </c>
      <c r="D74" s="141"/>
      <c r="E74" s="30">
        <v>1</v>
      </c>
      <c r="F74" s="32" t="s">
        <v>98</v>
      </c>
      <c r="G74" s="311">
        <f>VLOOKUP($B72&amp;" Totals",Personnel!$A:$AB,26,0)</f>
        <v>0</v>
      </c>
      <c r="H74" s="305">
        <f>IF(ISERROR(ROUND(I74/Eps,2)),0,ROUND(I74/Eps,2))</f>
        <v>0</v>
      </c>
      <c r="I74" s="306">
        <f>ROUND(E74*G74,2)</f>
        <v>0</v>
      </c>
    </row>
    <row r="75" spans="2:11" x14ac:dyDescent="0.2">
      <c r="B75" s="13"/>
      <c r="C75" s="10" t="s">
        <v>912</v>
      </c>
      <c r="D75" s="142"/>
      <c r="E75" s="31">
        <v>1</v>
      </c>
      <c r="F75" s="33" t="s">
        <v>98</v>
      </c>
      <c r="G75" s="312">
        <f>VLOOKUP($B72&amp;" Totals",Personnel!$A:$AB,22,0)</f>
        <v>0</v>
      </c>
      <c r="H75" s="307">
        <f>IF(ISERROR(ROUND(I75/Eps,2)),0,ROUND(I75/Eps,2))</f>
        <v>0</v>
      </c>
      <c r="I75" s="308">
        <f>ROUND(E75*G75,2)</f>
        <v>0</v>
      </c>
    </row>
    <row r="76" spans="2:11" x14ac:dyDescent="0.2">
      <c r="B76" s="14" t="str">
        <f>B70&amp;D76</f>
        <v>05Sub-Total</v>
      </c>
      <c r="C76" s="15"/>
      <c r="D76" s="336" t="s">
        <v>907</v>
      </c>
      <c r="E76" s="337"/>
      <c r="F76" s="16"/>
      <c r="G76" s="15"/>
      <c r="H76" s="309">
        <f>SUM(H71:H75)</f>
        <v>0</v>
      </c>
      <c r="I76" s="310">
        <f>ROUND(SUM(I71:I75),2)</f>
        <v>0</v>
      </c>
      <c r="J76" s="44"/>
      <c r="K76" s="296" t="str">
        <f>IF(AND((VLOOKUP($B72&amp;" Totals",Personnel!$A:$AB,28,0)-I76)&gt;-1,(VLOOKUP($B72&amp;" Totals",Personnel!$A:$AB,28,0)-I76)&lt;1),"","Check Personnel Page - Totals do not match")</f>
        <v/>
      </c>
    </row>
    <row r="77" spans="2:11" ht="7.5" customHeight="1" x14ac:dyDescent="0.2">
      <c r="B77" s="2"/>
      <c r="C77" s="4"/>
      <c r="D77" s="4"/>
      <c r="E77" s="4"/>
      <c r="F77" s="4"/>
      <c r="G77" s="4"/>
      <c r="H77" s="5"/>
      <c r="I77" s="28">
        <f>I76</f>
        <v>0</v>
      </c>
    </row>
    <row r="78" spans="2:11" x14ac:dyDescent="0.2">
      <c r="B78" s="22"/>
      <c r="C78" s="8"/>
      <c r="D78" s="167"/>
      <c r="E78" s="17"/>
      <c r="F78" s="17"/>
      <c r="G78" s="18"/>
      <c r="H78" s="93"/>
      <c r="I78" s="27">
        <f>I88</f>
        <v>0</v>
      </c>
    </row>
    <row r="79" spans="2:11" x14ac:dyDescent="0.2">
      <c r="B79" s="23" t="s">
        <v>16</v>
      </c>
      <c r="C79" s="21" t="s">
        <v>916</v>
      </c>
      <c r="D79" s="169" t="s">
        <v>974</v>
      </c>
      <c r="E79" s="95"/>
      <c r="F79" s="95"/>
      <c r="G79" s="96"/>
      <c r="H79" s="151">
        <f>IF(H88=0,0,"Ep")</f>
        <v>0</v>
      </c>
      <c r="I79" s="150">
        <f>IF(I88=0,0,"Series")</f>
        <v>0</v>
      </c>
    </row>
    <row r="80" spans="2:11" ht="7.5" customHeight="1" x14ac:dyDescent="0.2">
      <c r="B80" s="175"/>
      <c r="C80" s="91"/>
      <c r="D80" s="16"/>
      <c r="E80" s="20"/>
      <c r="F80" s="20"/>
      <c r="G80" s="15"/>
      <c r="H80" s="176"/>
      <c r="I80" s="29">
        <v>0</v>
      </c>
    </row>
    <row r="81" spans="2:9" x14ac:dyDescent="0.2">
      <c r="B81" s="12" t="s">
        <v>258</v>
      </c>
      <c r="C81" s="9" t="str">
        <f>VLOOKUP(LEFT(B81,3),Parameters!E:F,2,0)</f>
        <v>1st Assistant Director</v>
      </c>
      <c r="D81" s="79"/>
      <c r="E81" s="42">
        <f>SUMIF(Crew!A:A,B81,Crew!F:F)</f>
        <v>0</v>
      </c>
      <c r="F81" s="32" t="s">
        <v>917</v>
      </c>
      <c r="G81" s="311">
        <f>IF(ISERROR(I81/E81),0,(I81/E81))</f>
        <v>0</v>
      </c>
      <c r="H81" s="305">
        <f t="shared" ref="H81:H87" si="6">IF(ISERROR(ROUND(I81/Eps,2)),0,ROUND(I81/Eps,2))</f>
        <v>0</v>
      </c>
      <c r="I81" s="306">
        <f>SUMIF(Crew!A:A,B81,Crew!N:N)</f>
        <v>0</v>
      </c>
    </row>
    <row r="82" spans="2:9" x14ac:dyDescent="0.2">
      <c r="B82" s="12" t="s">
        <v>260</v>
      </c>
      <c r="C82" s="4" t="str">
        <f>VLOOKUP(LEFT(B82,3),Parameters!E:F,2,0)</f>
        <v>2nd Assistant Director</v>
      </c>
      <c r="D82" s="79"/>
      <c r="E82" s="42">
        <f>SUMIF(Crew!A:A,B82,Crew!F:F)</f>
        <v>0</v>
      </c>
      <c r="F82" s="32" t="s">
        <v>917</v>
      </c>
      <c r="G82" s="311">
        <f t="shared" ref="G82:G87" si="7">IF(ISERROR(I82/E82),0,(I82/E82))</f>
        <v>0</v>
      </c>
      <c r="H82" s="305">
        <f t="shared" si="6"/>
        <v>0</v>
      </c>
      <c r="I82" s="306">
        <f>SUMIF(Crew!A:A,B82,Crew!N:N)</f>
        <v>0</v>
      </c>
    </row>
    <row r="83" spans="2:9" x14ac:dyDescent="0.2">
      <c r="B83" s="12" t="s">
        <v>262</v>
      </c>
      <c r="C83" s="4" t="str">
        <f>VLOOKUP(LEFT(B83,3),Parameters!E:F,2,0)</f>
        <v>3rd Assistant Director</v>
      </c>
      <c r="D83" s="79"/>
      <c r="E83" s="42">
        <f>SUMIF(Crew!A:A,B83,Crew!F:F)</f>
        <v>0</v>
      </c>
      <c r="F83" s="32" t="s">
        <v>917</v>
      </c>
      <c r="G83" s="311">
        <f t="shared" si="7"/>
        <v>0</v>
      </c>
      <c r="H83" s="305">
        <f t="shared" si="6"/>
        <v>0</v>
      </c>
      <c r="I83" s="306">
        <f>SUMIF(Crew!A:A,B83,Crew!N:N)</f>
        <v>0</v>
      </c>
    </row>
    <row r="84" spans="2:9" x14ac:dyDescent="0.2">
      <c r="B84" s="12" t="s">
        <v>264</v>
      </c>
      <c r="C84" s="4" t="str">
        <f>VLOOKUP(LEFT(B84,3),Parameters!E:F,2,0)</f>
        <v>Floor Manager</v>
      </c>
      <c r="D84" s="79"/>
      <c r="E84" s="42">
        <f>SUMIF(Crew!A:A,B84,Crew!F:F)</f>
        <v>0</v>
      </c>
      <c r="F84" s="32" t="s">
        <v>917</v>
      </c>
      <c r="G84" s="311">
        <f t="shared" si="7"/>
        <v>0</v>
      </c>
      <c r="H84" s="305">
        <f t="shared" si="6"/>
        <v>0</v>
      </c>
      <c r="I84" s="306">
        <f>SUMIF(Crew!A:A,B84,Crew!N:N)</f>
        <v>0</v>
      </c>
    </row>
    <row r="85" spans="2:9" x14ac:dyDescent="0.2">
      <c r="B85" s="12" t="s">
        <v>266</v>
      </c>
      <c r="C85" s="4" t="str">
        <f>VLOOKUP(LEFT(B85,3),Parameters!E:F,2,0)</f>
        <v>Assistant Floor Manager</v>
      </c>
      <c r="D85" s="79"/>
      <c r="E85" s="42">
        <f>SUMIF(Crew!A:A,B85,Crew!F:F)</f>
        <v>0</v>
      </c>
      <c r="F85" s="32" t="s">
        <v>917</v>
      </c>
      <c r="G85" s="311">
        <f t="shared" si="7"/>
        <v>0</v>
      </c>
      <c r="H85" s="305">
        <f t="shared" si="6"/>
        <v>0</v>
      </c>
      <c r="I85" s="306">
        <f>SUMIF(Crew!A:A,B85,Crew!N:N)</f>
        <v>0</v>
      </c>
    </row>
    <row r="86" spans="2:9" x14ac:dyDescent="0.2">
      <c r="B86" s="12" t="s">
        <v>268</v>
      </c>
      <c r="C86" s="4" t="str">
        <f>VLOOKUP(LEFT(B86,3),Parameters!E:F,2,0)</f>
        <v>Location / Production Runner</v>
      </c>
      <c r="D86" s="79"/>
      <c r="E86" s="42">
        <f>SUMIF(Crew!A:A,B86,Crew!F:F)</f>
        <v>0</v>
      </c>
      <c r="F86" s="32" t="s">
        <v>917</v>
      </c>
      <c r="G86" s="311">
        <f t="shared" si="7"/>
        <v>0</v>
      </c>
      <c r="H86" s="305">
        <f t="shared" si="6"/>
        <v>0</v>
      </c>
      <c r="I86" s="306">
        <f>SUMIF(Crew!A:A,B86,Crew!N:N)</f>
        <v>0</v>
      </c>
    </row>
    <row r="87" spans="2:9" x14ac:dyDescent="0.2">
      <c r="B87" s="12" t="s">
        <v>270</v>
      </c>
      <c r="C87" s="4" t="str">
        <f>VLOOKUP(LEFT(B87,3),Parameters!E:F,2,0)</f>
        <v>Continuity / Script Supervisor</v>
      </c>
      <c r="D87" s="79"/>
      <c r="E87" s="42">
        <f>SUMIF(Crew!A:A,B87,Crew!F:F)</f>
        <v>0</v>
      </c>
      <c r="F87" s="32" t="s">
        <v>917</v>
      </c>
      <c r="G87" s="311">
        <f t="shared" si="7"/>
        <v>0</v>
      </c>
      <c r="H87" s="305">
        <f t="shared" si="6"/>
        <v>0</v>
      </c>
      <c r="I87" s="306">
        <f>SUMIF(Crew!A:A,B87,Crew!N:N)</f>
        <v>0</v>
      </c>
    </row>
    <row r="88" spans="2:9" x14ac:dyDescent="0.2">
      <c r="B88" s="14" t="str">
        <f>B79&amp;D88</f>
        <v>06Sub-Total</v>
      </c>
      <c r="C88" s="15"/>
      <c r="D88" s="336" t="s">
        <v>907</v>
      </c>
      <c r="E88" s="337"/>
      <c r="F88" s="16"/>
      <c r="G88" s="15"/>
      <c r="H88" s="309">
        <f>SUM(H80:H87)</f>
        <v>0</v>
      </c>
      <c r="I88" s="310">
        <f>SUM(I80:I87)</f>
        <v>0</v>
      </c>
    </row>
    <row r="89" spans="2:9" ht="7.5" customHeight="1" x14ac:dyDescent="0.2">
      <c r="B89" s="2"/>
      <c r="C89" s="4"/>
      <c r="D89" s="4"/>
      <c r="E89" s="4"/>
      <c r="F89" s="4"/>
      <c r="G89" s="4"/>
      <c r="H89" s="5"/>
      <c r="I89" s="28">
        <f>I88</f>
        <v>0</v>
      </c>
    </row>
    <row r="90" spans="2:9" x14ac:dyDescent="0.2">
      <c r="B90" s="22"/>
      <c r="C90" s="8"/>
      <c r="D90" s="167"/>
      <c r="E90" s="17"/>
      <c r="F90" s="17"/>
      <c r="G90" s="18"/>
      <c r="H90" s="93"/>
      <c r="I90" s="27">
        <f>I105</f>
        <v>0</v>
      </c>
    </row>
    <row r="91" spans="2:9" x14ac:dyDescent="0.2">
      <c r="B91" s="23" t="s">
        <v>18</v>
      </c>
      <c r="C91" s="21" t="s">
        <v>19</v>
      </c>
      <c r="D91" s="169" t="s">
        <v>974</v>
      </c>
      <c r="E91" s="95"/>
      <c r="F91" s="95"/>
      <c r="G91" s="96"/>
      <c r="H91" s="151">
        <f>IF(H105=0,0,"Ep")</f>
        <v>0</v>
      </c>
      <c r="I91" s="150">
        <f>IF(I105=0,0,"Series")</f>
        <v>0</v>
      </c>
    </row>
    <row r="92" spans="2:9" ht="7.5" customHeight="1" x14ac:dyDescent="0.2">
      <c r="B92" s="175"/>
      <c r="C92" s="91"/>
      <c r="D92" s="16"/>
      <c r="E92" s="20"/>
      <c r="F92" s="20"/>
      <c r="G92" s="15"/>
      <c r="H92" s="176"/>
      <c r="I92" s="29">
        <v>0</v>
      </c>
    </row>
    <row r="93" spans="2:9" x14ac:dyDescent="0.2">
      <c r="B93" s="12" t="s">
        <v>272</v>
      </c>
      <c r="C93" s="9" t="str">
        <f>VLOOKUP(LEFT(B93,3),Parameters!E:F,2,0)</f>
        <v>Director of Photography</v>
      </c>
      <c r="D93" s="79"/>
      <c r="E93" s="42">
        <f>SUMIF(Crew!A:A,B93,Crew!F:F)</f>
        <v>0</v>
      </c>
      <c r="F93" s="32" t="s">
        <v>917</v>
      </c>
      <c r="G93" s="311">
        <f t="shared" ref="G93:G104" si="8">IF(ISERROR(I93/E93),0,(I93/E93))</f>
        <v>0</v>
      </c>
      <c r="H93" s="305">
        <f t="shared" ref="H93:H104" si="9">IF(ISERROR(ROUND(I93/Eps,2)),0,ROUND(I93/Eps,2))</f>
        <v>0</v>
      </c>
      <c r="I93" s="306">
        <f>SUMIF(Crew!A:A,B93,Crew!N:N)</f>
        <v>0</v>
      </c>
    </row>
    <row r="94" spans="2:9" x14ac:dyDescent="0.2">
      <c r="B94" s="12" t="s">
        <v>274</v>
      </c>
      <c r="C94" s="4" t="str">
        <f>VLOOKUP(LEFT(B94,3),Parameters!E:F,2,0)</f>
        <v>Camera Supervisor</v>
      </c>
      <c r="D94" s="79"/>
      <c r="E94" s="42">
        <f>SUMIF(Crew!A:A,B94,Crew!F:F)</f>
        <v>0</v>
      </c>
      <c r="F94" s="32" t="s">
        <v>917</v>
      </c>
      <c r="G94" s="311">
        <f t="shared" si="8"/>
        <v>0</v>
      </c>
      <c r="H94" s="305">
        <f t="shared" si="9"/>
        <v>0</v>
      </c>
      <c r="I94" s="306">
        <f>SUMIF(Crew!A:A,B94,Crew!N:N)</f>
        <v>0</v>
      </c>
    </row>
    <row r="95" spans="2:9" x14ac:dyDescent="0.2">
      <c r="B95" s="12" t="s">
        <v>276</v>
      </c>
      <c r="C95" s="4" t="str">
        <f>VLOOKUP(LEFT(B95,3),Parameters!E:F,2,0)</f>
        <v>Camera Operator</v>
      </c>
      <c r="D95" s="79"/>
      <c r="E95" s="42">
        <f>SUMIF(Crew!A:A,B95,Crew!F:F)</f>
        <v>0</v>
      </c>
      <c r="F95" s="32" t="s">
        <v>917</v>
      </c>
      <c r="G95" s="311">
        <f t="shared" si="8"/>
        <v>0</v>
      </c>
      <c r="H95" s="305">
        <f t="shared" si="9"/>
        <v>0</v>
      </c>
      <c r="I95" s="306">
        <f>SUMIF(Crew!A:A,B95,Crew!N:N)</f>
        <v>0</v>
      </c>
    </row>
    <row r="96" spans="2:9" x14ac:dyDescent="0.2">
      <c r="B96" s="12" t="s">
        <v>278</v>
      </c>
      <c r="C96" s="4" t="str">
        <f>VLOOKUP(LEFT(B96,3),Parameters!E:F,2,0)</f>
        <v>HD Camera Operator</v>
      </c>
      <c r="D96" s="79"/>
      <c r="E96" s="42">
        <f>SUMIF(Crew!A:A,B96,Crew!F:F)</f>
        <v>0</v>
      </c>
      <c r="F96" s="32" t="s">
        <v>917</v>
      </c>
      <c r="G96" s="311">
        <f t="shared" si="8"/>
        <v>0</v>
      </c>
      <c r="H96" s="305">
        <f t="shared" si="9"/>
        <v>0</v>
      </c>
      <c r="I96" s="306">
        <f>SUMIF(Crew!A:A,B96,Crew!N:N)</f>
        <v>0</v>
      </c>
    </row>
    <row r="97" spans="2:9" x14ac:dyDescent="0.2">
      <c r="B97" s="12" t="s">
        <v>280</v>
      </c>
      <c r="C97" s="4" t="str">
        <f>VLOOKUP(LEFT(B97,3),Parameters!E:F,2,0)</f>
        <v>Camera Assistant / Trainee</v>
      </c>
      <c r="D97" s="79"/>
      <c r="E97" s="42">
        <f>SUMIF(Crew!A:A,B97,Crew!F:F)</f>
        <v>0</v>
      </c>
      <c r="F97" s="32" t="s">
        <v>917</v>
      </c>
      <c r="G97" s="311">
        <f t="shared" si="8"/>
        <v>0</v>
      </c>
      <c r="H97" s="305">
        <f t="shared" si="9"/>
        <v>0</v>
      </c>
      <c r="I97" s="306">
        <f>SUMIF(Crew!A:A,B97,Crew!N:N)</f>
        <v>0</v>
      </c>
    </row>
    <row r="98" spans="2:9" x14ac:dyDescent="0.2">
      <c r="B98" s="12" t="s">
        <v>282</v>
      </c>
      <c r="C98" s="4" t="str">
        <f>VLOOKUP(LEFT(B98,3),Parameters!E:F,2,0)</f>
        <v>Key Grips</v>
      </c>
      <c r="D98" s="79"/>
      <c r="E98" s="42">
        <f>SUMIF(Crew!A:A,B98,Crew!F:F)</f>
        <v>0</v>
      </c>
      <c r="F98" s="32" t="s">
        <v>917</v>
      </c>
      <c r="G98" s="311">
        <f t="shared" si="8"/>
        <v>0</v>
      </c>
      <c r="H98" s="305">
        <f t="shared" si="9"/>
        <v>0</v>
      </c>
      <c r="I98" s="306">
        <f>SUMIF(Crew!A:A,B98,Crew!N:N)</f>
        <v>0</v>
      </c>
    </row>
    <row r="99" spans="2:9" x14ac:dyDescent="0.2">
      <c r="B99" s="12" t="s">
        <v>284</v>
      </c>
      <c r="C99" s="4" t="str">
        <f>VLOOKUP(LEFT(B99,3),Parameters!E:F,2,0)</f>
        <v>Grips / Assistant Grips</v>
      </c>
      <c r="D99" s="79"/>
      <c r="E99" s="42">
        <f>SUMIF(Crew!A:A,B99,Crew!F:F)</f>
        <v>0</v>
      </c>
      <c r="F99" s="32" t="s">
        <v>917</v>
      </c>
      <c r="G99" s="311">
        <f t="shared" si="8"/>
        <v>0</v>
      </c>
      <c r="H99" s="305">
        <f t="shared" si="9"/>
        <v>0</v>
      </c>
      <c r="I99" s="306">
        <f>SUMIF(Crew!A:A,B99,Crew!N:N)</f>
        <v>0</v>
      </c>
    </row>
    <row r="100" spans="2:9" x14ac:dyDescent="0.2">
      <c r="B100" s="12" t="s">
        <v>286</v>
      </c>
      <c r="C100" s="4" t="str">
        <f>VLOOKUP(LEFT(B100,3),Parameters!E:F,2,0)</f>
        <v>Vision Controller / Supervisor</v>
      </c>
      <c r="D100" s="79"/>
      <c r="E100" s="42">
        <f>SUMIF(Crew!A:A,B100,Crew!F:F)</f>
        <v>0</v>
      </c>
      <c r="F100" s="32" t="s">
        <v>917</v>
      </c>
      <c r="G100" s="311">
        <f t="shared" si="8"/>
        <v>0</v>
      </c>
      <c r="H100" s="305">
        <f t="shared" si="9"/>
        <v>0</v>
      </c>
      <c r="I100" s="306">
        <f>SUMIF(Crew!A:A,B100,Crew!N:N)</f>
        <v>0</v>
      </c>
    </row>
    <row r="101" spans="2:9" x14ac:dyDescent="0.2">
      <c r="B101" s="12" t="s">
        <v>288</v>
      </c>
      <c r="C101" s="4" t="str">
        <f>VLOOKUP(LEFT(B101,3),Parameters!E:F,2,0)</f>
        <v>Vision Mixer</v>
      </c>
      <c r="D101" s="79"/>
      <c r="E101" s="42">
        <f>SUMIF(Crew!A:A,B101,Crew!F:F)</f>
        <v>0</v>
      </c>
      <c r="F101" s="32" t="s">
        <v>917</v>
      </c>
      <c r="G101" s="311">
        <f t="shared" si="8"/>
        <v>0</v>
      </c>
      <c r="H101" s="305">
        <f t="shared" si="9"/>
        <v>0</v>
      </c>
      <c r="I101" s="306">
        <f>SUMIF(Crew!A:A,B101,Crew!N:N)</f>
        <v>0</v>
      </c>
    </row>
    <row r="102" spans="2:9" x14ac:dyDescent="0.2">
      <c r="B102" s="12" t="s">
        <v>290</v>
      </c>
      <c r="C102" s="4" t="str">
        <f>VLOOKUP(LEFT(B102,3),Parameters!E:F,2,0)</f>
        <v>Vision Engineer</v>
      </c>
      <c r="D102" s="79"/>
      <c r="E102" s="42">
        <f>SUMIF(Crew!A:A,B102,Crew!F:F)</f>
        <v>0</v>
      </c>
      <c r="F102" s="32" t="s">
        <v>917</v>
      </c>
      <c r="G102" s="311">
        <f t="shared" si="8"/>
        <v>0</v>
      </c>
      <c r="H102" s="305">
        <f t="shared" si="9"/>
        <v>0</v>
      </c>
      <c r="I102" s="306">
        <f>SUMIF(Crew!A:A,B102,Crew!N:N)</f>
        <v>0</v>
      </c>
    </row>
    <row r="103" spans="2:9" x14ac:dyDescent="0.2">
      <c r="B103" s="12" t="s">
        <v>292</v>
      </c>
      <c r="C103" s="4" t="str">
        <f>VLOOKUP(LEFT(B103,3),Parameters!E:F,2,0)</f>
        <v>Focus Puller</v>
      </c>
      <c r="D103" s="79"/>
      <c r="E103" s="42">
        <f>SUMIF(Crew!A:A,B103,Crew!F:F)</f>
        <v>0</v>
      </c>
      <c r="F103" s="32" t="s">
        <v>917</v>
      </c>
      <c r="G103" s="311">
        <f t="shared" si="8"/>
        <v>0</v>
      </c>
      <c r="H103" s="305">
        <f t="shared" si="9"/>
        <v>0</v>
      </c>
      <c r="I103" s="306">
        <f>SUMIF(Crew!A:A,B103,Crew!N:N)</f>
        <v>0</v>
      </c>
    </row>
    <row r="104" spans="2:9" x14ac:dyDescent="0.2">
      <c r="B104" s="12" t="s">
        <v>294</v>
      </c>
      <c r="C104" s="4" t="str">
        <f>VLOOKUP(LEFT(B104,3),Parameters!E:F,2,0)</f>
        <v>Clapper Loader</v>
      </c>
      <c r="D104" s="79"/>
      <c r="E104" s="42">
        <f>SUMIF(Crew!A:A,B104,Crew!F:F)</f>
        <v>0</v>
      </c>
      <c r="F104" s="32" t="s">
        <v>917</v>
      </c>
      <c r="G104" s="311">
        <f t="shared" si="8"/>
        <v>0</v>
      </c>
      <c r="H104" s="305">
        <f t="shared" si="9"/>
        <v>0</v>
      </c>
      <c r="I104" s="306">
        <f>SUMIF(Crew!A:A,B104,Crew!N:N)</f>
        <v>0</v>
      </c>
    </row>
    <row r="105" spans="2:9" x14ac:dyDescent="0.2">
      <c r="B105" s="14" t="str">
        <f>B91&amp;D105</f>
        <v>07Sub-Total</v>
      </c>
      <c r="C105" s="15"/>
      <c r="D105" s="336" t="s">
        <v>907</v>
      </c>
      <c r="E105" s="337"/>
      <c r="F105" s="16"/>
      <c r="G105" s="15"/>
      <c r="H105" s="309">
        <f>SUM(H92:H104)</f>
        <v>0</v>
      </c>
      <c r="I105" s="310">
        <f>SUM(I92:I104)</f>
        <v>0</v>
      </c>
    </row>
    <row r="106" spans="2:9" ht="7.5" customHeight="1" x14ac:dyDescent="0.2">
      <c r="B106" s="2"/>
      <c r="C106" s="4"/>
      <c r="D106" s="4"/>
      <c r="E106" s="4"/>
      <c r="F106" s="4"/>
      <c r="G106" s="4"/>
      <c r="H106" s="5"/>
      <c r="I106" s="28">
        <f>I105</f>
        <v>0</v>
      </c>
    </row>
    <row r="107" spans="2:9" x14ac:dyDescent="0.2">
      <c r="B107" s="22"/>
      <c r="C107" s="8"/>
      <c r="D107" s="167"/>
      <c r="E107" s="17"/>
      <c r="F107" s="17"/>
      <c r="G107" s="18"/>
      <c r="H107" s="93"/>
      <c r="I107" s="27">
        <f>I116</f>
        <v>0</v>
      </c>
    </row>
    <row r="108" spans="2:9" x14ac:dyDescent="0.2">
      <c r="B108" s="23" t="s">
        <v>20</v>
      </c>
      <c r="C108" s="21" t="s">
        <v>21</v>
      </c>
      <c r="D108" s="169" t="s">
        <v>974</v>
      </c>
      <c r="E108" s="95"/>
      <c r="F108" s="95"/>
      <c r="G108" s="96"/>
      <c r="H108" s="151">
        <f>IF(H116=0,0,"Ep")</f>
        <v>0</v>
      </c>
      <c r="I108" s="150">
        <f>IF(I116=0,0,"Series")</f>
        <v>0</v>
      </c>
    </row>
    <row r="109" spans="2:9" ht="7.5" customHeight="1" x14ac:dyDescent="0.2">
      <c r="B109" s="175"/>
      <c r="C109" s="91"/>
      <c r="D109" s="16"/>
      <c r="E109" s="20"/>
      <c r="F109" s="20"/>
      <c r="G109" s="15"/>
      <c r="H109" s="176"/>
      <c r="I109" s="29">
        <v>0</v>
      </c>
    </row>
    <row r="110" spans="2:9" x14ac:dyDescent="0.2">
      <c r="B110" s="12" t="s">
        <v>296</v>
      </c>
      <c r="C110" s="9" t="str">
        <f>VLOOKUP(LEFT(B110,3),Parameters!E:F,2,0)</f>
        <v>Sound Supervisor</v>
      </c>
      <c r="D110" s="79"/>
      <c r="E110" s="42">
        <f>SUMIF(Crew!A:A,B110,Crew!F:F)</f>
        <v>0</v>
      </c>
      <c r="F110" s="32" t="s">
        <v>917</v>
      </c>
      <c r="G110" s="311">
        <f t="shared" ref="G110:G115" si="10">IF(ISERROR(I110/E110),0,(I110/E110))</f>
        <v>0</v>
      </c>
      <c r="H110" s="305">
        <f t="shared" ref="H110:H115" si="11">IF(ISERROR(ROUND(I110/Eps,2)),0,ROUND(I110/Eps,2))</f>
        <v>0</v>
      </c>
      <c r="I110" s="306">
        <f>SUMIF(Crew!A:A,B110,Crew!N:N)</f>
        <v>0</v>
      </c>
    </row>
    <row r="111" spans="2:9" x14ac:dyDescent="0.2">
      <c r="B111" s="12" t="s">
        <v>298</v>
      </c>
      <c r="C111" s="4" t="str">
        <f>VLOOKUP(LEFT(B111,3),Parameters!E:F,2,0)</f>
        <v>Sound Recordist</v>
      </c>
      <c r="D111" s="79"/>
      <c r="E111" s="42">
        <f>SUMIF(Crew!A:A,B111,Crew!F:F)</f>
        <v>0</v>
      </c>
      <c r="F111" s="32" t="s">
        <v>917</v>
      </c>
      <c r="G111" s="311">
        <f t="shared" si="10"/>
        <v>0</v>
      </c>
      <c r="H111" s="305">
        <f t="shared" si="11"/>
        <v>0</v>
      </c>
      <c r="I111" s="306">
        <f>SUMIF(Crew!A:A,B111,Crew!N:N)</f>
        <v>0</v>
      </c>
    </row>
    <row r="112" spans="2:9" x14ac:dyDescent="0.2">
      <c r="B112" s="12" t="s">
        <v>300</v>
      </c>
      <c r="C112" s="4" t="str">
        <f>VLOOKUP(LEFT(B112,3),Parameters!E:F,2,0)</f>
        <v>HD Sound Recordist</v>
      </c>
      <c r="D112" s="79"/>
      <c r="E112" s="42">
        <f>SUMIF(Crew!A:A,B112,Crew!F:F)</f>
        <v>0</v>
      </c>
      <c r="F112" s="32" t="s">
        <v>917</v>
      </c>
      <c r="G112" s="311">
        <f t="shared" si="10"/>
        <v>0</v>
      </c>
      <c r="H112" s="305">
        <f t="shared" si="11"/>
        <v>0</v>
      </c>
      <c r="I112" s="306">
        <f>SUMIF(Crew!A:A,B112,Crew!N:N)</f>
        <v>0</v>
      </c>
    </row>
    <row r="113" spans="2:9" x14ac:dyDescent="0.2">
      <c r="B113" s="12" t="s">
        <v>302</v>
      </c>
      <c r="C113" s="4" t="str">
        <f>VLOOKUP(LEFT(B113,3),Parameters!E:F,2,0)</f>
        <v>Sound Assistant</v>
      </c>
      <c r="D113" s="79"/>
      <c r="E113" s="42">
        <f>SUMIF(Crew!A:A,B113,Crew!F:F)</f>
        <v>0</v>
      </c>
      <c r="F113" s="32" t="s">
        <v>917</v>
      </c>
      <c r="G113" s="311">
        <f t="shared" si="10"/>
        <v>0</v>
      </c>
      <c r="H113" s="305">
        <f t="shared" si="11"/>
        <v>0</v>
      </c>
      <c r="I113" s="306">
        <f>SUMIF(Crew!A:A,B113,Crew!N:N)</f>
        <v>0</v>
      </c>
    </row>
    <row r="114" spans="2:9" x14ac:dyDescent="0.2">
      <c r="B114" s="12" t="s">
        <v>304</v>
      </c>
      <c r="C114" s="4" t="str">
        <f>VLOOKUP(LEFT(B114,3),Parameters!E:F,2,0)</f>
        <v>Sound Technician</v>
      </c>
      <c r="D114" s="79"/>
      <c r="E114" s="42">
        <f>SUMIF(Crew!A:A,B114,Crew!F:F)</f>
        <v>0</v>
      </c>
      <c r="F114" s="32" t="s">
        <v>917</v>
      </c>
      <c r="G114" s="311">
        <f t="shared" si="10"/>
        <v>0</v>
      </c>
      <c r="H114" s="305">
        <f t="shared" si="11"/>
        <v>0</v>
      </c>
      <c r="I114" s="306">
        <f>SUMIF(Crew!A:A,B114,Crew!N:N)</f>
        <v>0</v>
      </c>
    </row>
    <row r="115" spans="2:9" x14ac:dyDescent="0.2">
      <c r="B115" s="12" t="s">
        <v>306</v>
      </c>
      <c r="C115" s="4" t="str">
        <f>VLOOKUP(LEFT(B115,3),Parameters!E:F,2,0)</f>
        <v>Boom Op / Sound Maintenance Engineer</v>
      </c>
      <c r="D115" s="79"/>
      <c r="E115" s="42">
        <f>SUMIF(Crew!A:A,B115,Crew!F:F)</f>
        <v>0</v>
      </c>
      <c r="F115" s="32" t="s">
        <v>917</v>
      </c>
      <c r="G115" s="311">
        <f t="shared" si="10"/>
        <v>0</v>
      </c>
      <c r="H115" s="305">
        <f t="shared" si="11"/>
        <v>0</v>
      </c>
      <c r="I115" s="306">
        <f>SUMIF(Crew!A:A,B115,Crew!N:N)</f>
        <v>0</v>
      </c>
    </row>
    <row r="116" spans="2:9" x14ac:dyDescent="0.2">
      <c r="B116" s="14" t="str">
        <f>B108&amp;D116</f>
        <v>08Sub-Total</v>
      </c>
      <c r="C116" s="15"/>
      <c r="D116" s="336" t="s">
        <v>907</v>
      </c>
      <c r="E116" s="337"/>
      <c r="F116" s="16"/>
      <c r="G116" s="15"/>
      <c r="H116" s="309">
        <f>SUM(H109:H115)</f>
        <v>0</v>
      </c>
      <c r="I116" s="310">
        <f>SUM(I109:I115)</f>
        <v>0</v>
      </c>
    </row>
    <row r="117" spans="2:9" ht="7.5" customHeight="1" x14ac:dyDescent="0.2">
      <c r="B117" s="2"/>
      <c r="C117" s="4"/>
      <c r="D117" s="4"/>
      <c r="E117" s="4"/>
      <c r="F117" s="4"/>
      <c r="G117" s="4"/>
      <c r="H117" s="5"/>
      <c r="I117" s="28">
        <f>I116</f>
        <v>0</v>
      </c>
    </row>
    <row r="118" spans="2:9" x14ac:dyDescent="0.2">
      <c r="B118" s="22"/>
      <c r="C118" s="8"/>
      <c r="D118" s="167"/>
      <c r="E118" s="17"/>
      <c r="F118" s="17"/>
      <c r="G118" s="18"/>
      <c r="H118" s="93"/>
      <c r="I118" s="27">
        <f>I129</f>
        <v>0</v>
      </c>
    </row>
    <row r="119" spans="2:9" x14ac:dyDescent="0.2">
      <c r="B119" s="23" t="s">
        <v>22</v>
      </c>
      <c r="C119" s="21" t="s">
        <v>23</v>
      </c>
      <c r="D119" s="169" t="s">
        <v>974</v>
      </c>
      <c r="E119" s="95"/>
      <c r="F119" s="95"/>
      <c r="G119" s="96"/>
      <c r="H119" s="151">
        <f>IF(H129=0,0,"Ep")</f>
        <v>0</v>
      </c>
      <c r="I119" s="150">
        <f>IF(I129=0,0,"Series")</f>
        <v>0</v>
      </c>
    </row>
    <row r="120" spans="2:9" ht="7.5" customHeight="1" x14ac:dyDescent="0.2">
      <c r="B120" s="175"/>
      <c r="C120" s="91"/>
      <c r="D120" s="16"/>
      <c r="E120" s="20"/>
      <c r="F120" s="20"/>
      <c r="G120" s="15"/>
      <c r="H120" s="176"/>
      <c r="I120" s="29">
        <v>0</v>
      </c>
    </row>
    <row r="121" spans="2:9" x14ac:dyDescent="0.2">
      <c r="B121" s="12" t="s">
        <v>308</v>
      </c>
      <c r="C121" s="9" t="str">
        <f>VLOOKUP(LEFT(B121,3),Parameters!E:F,2,0)</f>
        <v>Lighting Gaffer</v>
      </c>
      <c r="D121" s="79"/>
      <c r="E121" s="42">
        <f>SUMIF(Crew!A:A,B121,Crew!F:F)</f>
        <v>0</v>
      </c>
      <c r="F121" s="32" t="s">
        <v>917</v>
      </c>
      <c r="G121" s="311">
        <f t="shared" ref="G121:G128" si="12">IF(ISERROR(I121/E121),0,(I121/E121))</f>
        <v>0</v>
      </c>
      <c r="H121" s="305">
        <f t="shared" ref="H121:H128" si="13">IF(ISERROR(ROUND(I121/Eps,2)),0,ROUND(I121/Eps,2))</f>
        <v>0</v>
      </c>
      <c r="I121" s="306">
        <f>SUMIF(Crew!A:A,B121,Crew!N:N)</f>
        <v>0</v>
      </c>
    </row>
    <row r="122" spans="2:9" x14ac:dyDescent="0.2">
      <c r="B122" s="12" t="s">
        <v>310</v>
      </c>
      <c r="C122" s="4" t="str">
        <f>VLOOKUP(LEFT(B122,3),Parameters!E:F,2,0)</f>
        <v>Lighting Director</v>
      </c>
      <c r="D122" s="79"/>
      <c r="E122" s="42">
        <f>SUMIF(Crew!A:A,B122,Crew!F:F)</f>
        <v>0</v>
      </c>
      <c r="F122" s="32" t="s">
        <v>917</v>
      </c>
      <c r="G122" s="311">
        <f t="shared" si="12"/>
        <v>0</v>
      </c>
      <c r="H122" s="305">
        <f t="shared" si="13"/>
        <v>0</v>
      </c>
      <c r="I122" s="306">
        <f>SUMIF(Crew!A:A,B122,Crew!N:N)</f>
        <v>0</v>
      </c>
    </row>
    <row r="123" spans="2:9" x14ac:dyDescent="0.2">
      <c r="B123" s="12" t="s">
        <v>312</v>
      </c>
      <c r="C123" s="4" t="str">
        <f>VLOOKUP(LEFT(B123,3),Parameters!E:F,2,0)</f>
        <v>Lighting Dailies</v>
      </c>
      <c r="D123" s="79"/>
      <c r="E123" s="42">
        <f>SUMIF(Crew!A:A,B123,Crew!F:F)</f>
        <v>0</v>
      </c>
      <c r="F123" s="32" t="s">
        <v>917</v>
      </c>
      <c r="G123" s="311">
        <f t="shared" si="12"/>
        <v>0</v>
      </c>
      <c r="H123" s="305">
        <f t="shared" si="13"/>
        <v>0</v>
      </c>
      <c r="I123" s="306">
        <f>SUMIF(Crew!A:A,B123,Crew!N:N)</f>
        <v>0</v>
      </c>
    </row>
    <row r="124" spans="2:9" x14ac:dyDescent="0.2">
      <c r="B124" s="12" t="s">
        <v>314</v>
      </c>
      <c r="C124" s="4" t="str">
        <f>VLOOKUP(LEFT(B124,3),Parameters!E:F,2,0)</f>
        <v>Chargehand Electrician / Best Boy</v>
      </c>
      <c r="D124" s="79"/>
      <c r="E124" s="42">
        <f>SUMIF(Crew!A:A,B124,Crew!F:F)</f>
        <v>0</v>
      </c>
      <c r="F124" s="32" t="s">
        <v>917</v>
      </c>
      <c r="G124" s="311">
        <f t="shared" si="12"/>
        <v>0</v>
      </c>
      <c r="H124" s="305">
        <f t="shared" si="13"/>
        <v>0</v>
      </c>
      <c r="I124" s="306">
        <f>SUMIF(Crew!A:A,B124,Crew!N:N)</f>
        <v>0</v>
      </c>
    </row>
    <row r="125" spans="2:9" x14ac:dyDescent="0.2">
      <c r="B125" s="12" t="s">
        <v>316</v>
      </c>
      <c r="C125" s="4" t="str">
        <f>VLOOKUP(LEFT(B125,3),Parameters!E:F,2,0)</f>
        <v>Electrician</v>
      </c>
      <c r="D125" s="79"/>
      <c r="E125" s="42">
        <f>SUMIF(Crew!A:A,B125,Crew!F:F)</f>
        <v>0</v>
      </c>
      <c r="F125" s="32" t="s">
        <v>917</v>
      </c>
      <c r="G125" s="311">
        <f t="shared" si="12"/>
        <v>0</v>
      </c>
      <c r="H125" s="305">
        <f t="shared" si="13"/>
        <v>0</v>
      </c>
      <c r="I125" s="306">
        <f>SUMIF(Crew!A:A,B125,Crew!N:N)</f>
        <v>0</v>
      </c>
    </row>
    <row r="126" spans="2:9" x14ac:dyDescent="0.2">
      <c r="B126" s="12" t="s">
        <v>318</v>
      </c>
      <c r="C126" s="4" t="str">
        <f>VLOOKUP(LEFT(B126,3),Parameters!E:F,2,0)</f>
        <v>Generator Operator</v>
      </c>
      <c r="D126" s="79"/>
      <c r="E126" s="42">
        <f>SUMIF(Crew!A:A,B126,Crew!F:F)</f>
        <v>0</v>
      </c>
      <c r="F126" s="32" t="s">
        <v>917</v>
      </c>
      <c r="G126" s="311">
        <f t="shared" si="12"/>
        <v>0</v>
      </c>
      <c r="H126" s="305">
        <f t="shared" si="13"/>
        <v>0</v>
      </c>
      <c r="I126" s="306">
        <f>SUMIF(Crew!A:A,B126,Crew!N:N)</f>
        <v>0</v>
      </c>
    </row>
    <row r="127" spans="2:9" x14ac:dyDescent="0.2">
      <c r="B127" s="12" t="s">
        <v>320</v>
      </c>
      <c r="C127" s="4" t="str">
        <f>VLOOKUP(LEFT(B127,3),Parameters!E:F,2,0)</f>
        <v>Console Operator</v>
      </c>
      <c r="D127" s="79"/>
      <c r="E127" s="42">
        <f>SUMIF(Crew!A:A,B127,Crew!F:F)</f>
        <v>0</v>
      </c>
      <c r="F127" s="32" t="s">
        <v>917</v>
      </c>
      <c r="G127" s="311">
        <f t="shared" si="12"/>
        <v>0</v>
      </c>
      <c r="H127" s="305">
        <f t="shared" si="13"/>
        <v>0</v>
      </c>
      <c r="I127" s="306">
        <f>SUMIF(Crew!A:A,B127,Crew!N:N)</f>
        <v>0</v>
      </c>
    </row>
    <row r="128" spans="2:9" x14ac:dyDescent="0.2">
      <c r="B128" s="12" t="s">
        <v>322</v>
      </c>
      <c r="C128" s="4" t="str">
        <f>VLOOKUP(LEFT(B128,3),Parameters!E:F,2,0)</f>
        <v>Picture Co-Ordinator</v>
      </c>
      <c r="D128" s="79"/>
      <c r="E128" s="42">
        <f>SUMIF(Crew!A:A,B128,Crew!F:F)</f>
        <v>0</v>
      </c>
      <c r="F128" s="32" t="s">
        <v>917</v>
      </c>
      <c r="G128" s="311">
        <f t="shared" si="12"/>
        <v>0</v>
      </c>
      <c r="H128" s="305">
        <f t="shared" si="13"/>
        <v>0</v>
      </c>
      <c r="I128" s="306">
        <f>SUMIF(Crew!A:A,B128,Crew!N:N)</f>
        <v>0</v>
      </c>
    </row>
    <row r="129" spans="2:9" x14ac:dyDescent="0.2">
      <c r="B129" s="14" t="str">
        <f>B119&amp;D129</f>
        <v>09Sub-Total</v>
      </c>
      <c r="C129" s="15"/>
      <c r="D129" s="336" t="s">
        <v>907</v>
      </c>
      <c r="E129" s="337"/>
      <c r="F129" s="16"/>
      <c r="G129" s="15"/>
      <c r="H129" s="309">
        <f>SUM(H120:H128)</f>
        <v>0</v>
      </c>
      <c r="I129" s="310">
        <f>SUM(I120:I128)</f>
        <v>0</v>
      </c>
    </row>
    <row r="130" spans="2:9" ht="7.5" customHeight="1" x14ac:dyDescent="0.2">
      <c r="B130" s="2"/>
      <c r="C130" s="4"/>
      <c r="D130" s="4"/>
      <c r="E130" s="4"/>
      <c r="F130" s="4"/>
      <c r="G130" s="4"/>
      <c r="H130" s="5"/>
      <c r="I130" s="28">
        <f>I129</f>
        <v>0</v>
      </c>
    </row>
    <row r="131" spans="2:9" x14ac:dyDescent="0.2">
      <c r="B131" s="22"/>
      <c r="C131" s="8"/>
      <c r="D131" s="167"/>
      <c r="E131" s="17"/>
      <c r="F131" s="17"/>
      <c r="G131" s="18"/>
      <c r="H131" s="93"/>
      <c r="I131" s="27">
        <f>I157</f>
        <v>0</v>
      </c>
    </row>
    <row r="132" spans="2:9" x14ac:dyDescent="0.2">
      <c r="B132" s="23" t="s">
        <v>24</v>
      </c>
      <c r="C132" s="21" t="s">
        <v>25</v>
      </c>
      <c r="D132" s="169" t="s">
        <v>974</v>
      </c>
      <c r="E132" s="95"/>
      <c r="F132" s="95"/>
      <c r="G132" s="96"/>
      <c r="H132" s="151">
        <f>IF(H157=0,0,"Ep")</f>
        <v>0</v>
      </c>
      <c r="I132" s="150">
        <f>IF(I157=0,0,"Series")</f>
        <v>0</v>
      </c>
    </row>
    <row r="133" spans="2:9" ht="7.5" customHeight="1" x14ac:dyDescent="0.2">
      <c r="B133" s="175"/>
      <c r="C133" s="91"/>
      <c r="D133" s="16"/>
      <c r="E133" s="20"/>
      <c r="F133" s="20"/>
      <c r="G133" s="15"/>
      <c r="H133" s="176"/>
      <c r="I133" s="29">
        <v>0</v>
      </c>
    </row>
    <row r="134" spans="2:9" x14ac:dyDescent="0.2">
      <c r="B134" s="12" t="s">
        <v>324</v>
      </c>
      <c r="C134" s="9" t="str">
        <f>VLOOKUP(LEFT(B134,3),Parameters!E:F,2,0)</f>
        <v>Designer</v>
      </c>
      <c r="D134" s="79"/>
      <c r="E134" s="42">
        <f>SUMIF(Crew!A:A,B134,Crew!F:F)</f>
        <v>0</v>
      </c>
      <c r="F134" s="32" t="s">
        <v>917</v>
      </c>
      <c r="G134" s="311">
        <f t="shared" ref="G134:G156" si="14">IF(ISERROR(I134/E134),0,(I134/E134))</f>
        <v>0</v>
      </c>
      <c r="H134" s="305">
        <f t="shared" ref="H134:H156" si="15">IF(ISERROR(ROUND(I134/Eps,2)),0,ROUND(I134/Eps,2))</f>
        <v>0</v>
      </c>
      <c r="I134" s="306">
        <f>SUMIF(Crew!A:A,B134,Crew!N:N)</f>
        <v>0</v>
      </c>
    </row>
    <row r="135" spans="2:9" x14ac:dyDescent="0.2">
      <c r="B135" s="12" t="s">
        <v>326</v>
      </c>
      <c r="C135" s="4" t="str">
        <f>VLOOKUP(LEFT(B135,3),Parameters!E:F,2,0)</f>
        <v>Art Director</v>
      </c>
      <c r="D135" s="79"/>
      <c r="E135" s="42">
        <f>SUMIF(Crew!A:A,B135,Crew!F:F)</f>
        <v>0</v>
      </c>
      <c r="F135" s="32" t="s">
        <v>917</v>
      </c>
      <c r="G135" s="311">
        <f t="shared" si="14"/>
        <v>0</v>
      </c>
      <c r="H135" s="305">
        <f t="shared" si="15"/>
        <v>0</v>
      </c>
      <c r="I135" s="306">
        <f>SUMIF(Crew!A:A,B135,Crew!N:N)</f>
        <v>0</v>
      </c>
    </row>
    <row r="136" spans="2:9" x14ac:dyDescent="0.2">
      <c r="B136" s="12" t="s">
        <v>328</v>
      </c>
      <c r="C136" s="4" t="str">
        <f>VLOOKUP(LEFT(B136,3),Parameters!E:F,2,0)</f>
        <v>Standby Art Director</v>
      </c>
      <c r="D136" s="79"/>
      <c r="E136" s="42">
        <f>SUMIF(Crew!A:A,B136,Crew!F:F)</f>
        <v>0</v>
      </c>
      <c r="F136" s="32" t="s">
        <v>917</v>
      </c>
      <c r="G136" s="311">
        <f t="shared" si="14"/>
        <v>0</v>
      </c>
      <c r="H136" s="305">
        <f t="shared" si="15"/>
        <v>0</v>
      </c>
      <c r="I136" s="306">
        <f>SUMIF(Crew!A:A,B136,Crew!N:N)</f>
        <v>0</v>
      </c>
    </row>
    <row r="137" spans="2:9" x14ac:dyDescent="0.2">
      <c r="B137" s="12" t="s">
        <v>330</v>
      </c>
      <c r="C137" s="4" t="str">
        <f>VLOOKUP(LEFT(B137,3),Parameters!E:F,2,0)</f>
        <v>Design Assistant</v>
      </c>
      <c r="D137" s="79"/>
      <c r="E137" s="42">
        <f>SUMIF(Crew!A:A,B137,Crew!F:F)</f>
        <v>0</v>
      </c>
      <c r="F137" s="32" t="s">
        <v>917</v>
      </c>
      <c r="G137" s="311">
        <f t="shared" si="14"/>
        <v>0</v>
      </c>
      <c r="H137" s="305">
        <f t="shared" si="15"/>
        <v>0</v>
      </c>
      <c r="I137" s="306">
        <f>SUMIF(Crew!A:A,B137,Crew!N:N)</f>
        <v>0</v>
      </c>
    </row>
    <row r="138" spans="2:9" x14ac:dyDescent="0.2">
      <c r="B138" s="12" t="s">
        <v>332</v>
      </c>
      <c r="C138" s="4" t="str">
        <f>VLOOKUP(LEFT(B138,3),Parameters!E:F,2,0)</f>
        <v>Design Runner</v>
      </c>
      <c r="D138" s="79"/>
      <c r="E138" s="42">
        <f>SUMIF(Crew!A:A,B138,Crew!F:F)</f>
        <v>0</v>
      </c>
      <c r="F138" s="32" t="s">
        <v>917</v>
      </c>
      <c r="G138" s="311">
        <f t="shared" si="14"/>
        <v>0</v>
      </c>
      <c r="H138" s="305">
        <f t="shared" si="15"/>
        <v>0</v>
      </c>
      <c r="I138" s="306">
        <f>SUMIF(Crew!A:A,B138,Crew!N:N)</f>
        <v>0</v>
      </c>
    </row>
    <row r="139" spans="2:9" x14ac:dyDescent="0.2">
      <c r="B139" s="12" t="s">
        <v>334</v>
      </c>
      <c r="C139" s="4" t="str">
        <f>VLOOKUP(LEFT(B139,3),Parameters!E:F,2,0)</f>
        <v>Rigger</v>
      </c>
      <c r="D139" s="79"/>
      <c r="E139" s="42">
        <f>SUMIF(Crew!A:A,B139,Crew!F:F)</f>
        <v>0</v>
      </c>
      <c r="F139" s="32" t="s">
        <v>917</v>
      </c>
      <c r="G139" s="311">
        <f t="shared" si="14"/>
        <v>0</v>
      </c>
      <c r="H139" s="305">
        <f t="shared" si="15"/>
        <v>0</v>
      </c>
      <c r="I139" s="306">
        <f>SUMIF(Crew!A:A,B139,Crew!N:N)</f>
        <v>0</v>
      </c>
    </row>
    <row r="140" spans="2:9" x14ac:dyDescent="0.2">
      <c r="B140" s="12" t="s">
        <v>336</v>
      </c>
      <c r="C140" s="4" t="str">
        <f>VLOOKUP(LEFT(B140,3),Parameters!E:F,2,0)</f>
        <v>Prop Buyer</v>
      </c>
      <c r="D140" s="79"/>
      <c r="E140" s="42">
        <f>SUMIF(Crew!A:A,B140,Crew!F:F)</f>
        <v>0</v>
      </c>
      <c r="F140" s="32" t="s">
        <v>917</v>
      </c>
      <c r="G140" s="311">
        <f t="shared" si="14"/>
        <v>0</v>
      </c>
      <c r="H140" s="305">
        <f t="shared" si="15"/>
        <v>0</v>
      </c>
      <c r="I140" s="306">
        <f>SUMIF(Crew!A:A,B140,Crew!N:N)</f>
        <v>0</v>
      </c>
    </row>
    <row r="141" spans="2:9" x14ac:dyDescent="0.2">
      <c r="B141" s="12" t="s">
        <v>338</v>
      </c>
      <c r="C141" s="4" t="str">
        <f>VLOOKUP(LEFT(B141,3),Parameters!E:F,2,0)</f>
        <v>Property Master</v>
      </c>
      <c r="D141" s="79"/>
      <c r="E141" s="42">
        <f>SUMIF(Crew!A:A,B141,Crew!F:F)</f>
        <v>0</v>
      </c>
      <c r="F141" s="32" t="s">
        <v>917</v>
      </c>
      <c r="G141" s="311">
        <f t="shared" si="14"/>
        <v>0</v>
      </c>
      <c r="H141" s="305">
        <f t="shared" si="15"/>
        <v>0</v>
      </c>
      <c r="I141" s="306">
        <f>SUMIF(Crew!A:A,B141,Crew!N:N)</f>
        <v>0</v>
      </c>
    </row>
    <row r="142" spans="2:9" x14ac:dyDescent="0.2">
      <c r="B142" s="12" t="s">
        <v>340</v>
      </c>
      <c r="C142" s="4" t="str">
        <f>VLOOKUP(LEFT(B142,3),Parameters!E:F,2,0)</f>
        <v>Props / Set Storekeeper</v>
      </c>
      <c r="D142" s="79"/>
      <c r="E142" s="42">
        <f>SUMIF(Crew!A:A,B142,Crew!F:F)</f>
        <v>0</v>
      </c>
      <c r="F142" s="32" t="s">
        <v>917</v>
      </c>
      <c r="G142" s="311">
        <f t="shared" si="14"/>
        <v>0</v>
      </c>
      <c r="H142" s="305">
        <f t="shared" si="15"/>
        <v>0</v>
      </c>
      <c r="I142" s="306">
        <f>SUMIF(Crew!A:A,B142,Crew!N:N)</f>
        <v>0</v>
      </c>
    </row>
    <row r="143" spans="2:9" x14ac:dyDescent="0.2">
      <c r="B143" s="12" t="s">
        <v>342</v>
      </c>
      <c r="C143" s="4" t="str">
        <f>VLOOKUP(LEFT(B143,3),Parameters!E:F,2,0)</f>
        <v>Dressing Props</v>
      </c>
      <c r="D143" s="79"/>
      <c r="E143" s="42">
        <f>SUMIF(Crew!A:A,B143,Crew!F:F)</f>
        <v>0</v>
      </c>
      <c r="F143" s="32" t="s">
        <v>917</v>
      </c>
      <c r="G143" s="311">
        <f t="shared" si="14"/>
        <v>0</v>
      </c>
      <c r="H143" s="305">
        <f t="shared" si="15"/>
        <v>0</v>
      </c>
      <c r="I143" s="306">
        <f>SUMIF(Crew!A:A,B143,Crew!N:N)</f>
        <v>0</v>
      </c>
    </row>
    <row r="144" spans="2:9" x14ac:dyDescent="0.2">
      <c r="B144" s="12" t="s">
        <v>344</v>
      </c>
      <c r="C144" s="4" t="str">
        <f>VLOOKUP(LEFT(B144,3),Parameters!E:F,2,0)</f>
        <v>Standby Props</v>
      </c>
      <c r="D144" s="79"/>
      <c r="E144" s="42">
        <f>SUMIF(Crew!A:A,B144,Crew!F:F)</f>
        <v>0</v>
      </c>
      <c r="F144" s="32" t="s">
        <v>917</v>
      </c>
      <c r="G144" s="311">
        <f t="shared" si="14"/>
        <v>0</v>
      </c>
      <c r="H144" s="305">
        <f t="shared" si="15"/>
        <v>0</v>
      </c>
      <c r="I144" s="306">
        <f>SUMIF(Crew!A:A,B144,Crew!N:N)</f>
        <v>0</v>
      </c>
    </row>
    <row r="145" spans="2:9" x14ac:dyDescent="0.2">
      <c r="B145" s="12" t="s">
        <v>346</v>
      </c>
      <c r="C145" s="4" t="str">
        <f>VLOOKUP(LEFT(B145,3),Parameters!E:F,2,0)</f>
        <v>Props Dailies</v>
      </c>
      <c r="D145" s="79"/>
      <c r="E145" s="42">
        <f>SUMIF(Crew!A:A,B145,Crew!F:F)</f>
        <v>0</v>
      </c>
      <c r="F145" s="32" t="s">
        <v>917</v>
      </c>
      <c r="G145" s="311">
        <f t="shared" si="14"/>
        <v>0</v>
      </c>
      <c r="H145" s="305">
        <f t="shared" si="15"/>
        <v>0</v>
      </c>
      <c r="I145" s="306">
        <f>SUMIF(Crew!A:A,B145,Crew!N:N)</f>
        <v>0</v>
      </c>
    </row>
    <row r="146" spans="2:9" x14ac:dyDescent="0.2">
      <c r="B146" s="12" t="s">
        <v>348</v>
      </c>
      <c r="C146" s="4" t="str">
        <f>VLOOKUP(LEFT(B146,3),Parameters!E:F,2,0)</f>
        <v>Carpenter</v>
      </c>
      <c r="D146" s="79"/>
      <c r="E146" s="42">
        <f>SUMIF(Crew!A:A,B146,Crew!F:F)</f>
        <v>0</v>
      </c>
      <c r="F146" s="32" t="s">
        <v>917</v>
      </c>
      <c r="G146" s="311">
        <f t="shared" si="14"/>
        <v>0</v>
      </c>
      <c r="H146" s="305">
        <f t="shared" si="15"/>
        <v>0</v>
      </c>
      <c r="I146" s="306">
        <f>SUMIF(Crew!A:A,B146,Crew!N:N)</f>
        <v>0</v>
      </c>
    </row>
    <row r="147" spans="2:9" x14ac:dyDescent="0.2">
      <c r="B147" s="12" t="s">
        <v>350</v>
      </c>
      <c r="C147" s="4" t="str">
        <f>VLOOKUP(LEFT(B147,3),Parameters!E:F,2,0)</f>
        <v>Painter</v>
      </c>
      <c r="D147" s="79"/>
      <c r="E147" s="42">
        <f>SUMIF(Crew!A:A,B147,Crew!F:F)</f>
        <v>0</v>
      </c>
      <c r="F147" s="32" t="s">
        <v>917</v>
      </c>
      <c r="G147" s="311">
        <f t="shared" si="14"/>
        <v>0</v>
      </c>
      <c r="H147" s="305">
        <f t="shared" si="15"/>
        <v>0</v>
      </c>
      <c r="I147" s="306">
        <f>SUMIF(Crew!A:A,B147,Crew!N:N)</f>
        <v>0</v>
      </c>
    </row>
    <row r="148" spans="2:9" x14ac:dyDescent="0.2">
      <c r="B148" s="12" t="s">
        <v>352</v>
      </c>
      <c r="C148" s="4" t="str">
        <f>VLOOKUP(LEFT(B148,3),Parameters!E:F,2,0)</f>
        <v>Construction Manager / Scenic Supervisor</v>
      </c>
      <c r="D148" s="79"/>
      <c r="E148" s="42">
        <f>SUMIF(Crew!A:A,B148,Crew!F:F)</f>
        <v>0</v>
      </c>
      <c r="F148" s="32" t="s">
        <v>917</v>
      </c>
      <c r="G148" s="311">
        <f t="shared" si="14"/>
        <v>0</v>
      </c>
      <c r="H148" s="305">
        <f t="shared" si="15"/>
        <v>0</v>
      </c>
      <c r="I148" s="306">
        <f>SUMIF(Crew!A:A,B148,Crew!N:N)</f>
        <v>0</v>
      </c>
    </row>
    <row r="149" spans="2:9" x14ac:dyDescent="0.2">
      <c r="B149" s="12" t="s">
        <v>354</v>
      </c>
      <c r="C149" s="4" t="str">
        <f>VLOOKUP(LEFT(B149,3),Parameters!E:F,2,0)</f>
        <v>Construction Labour</v>
      </c>
      <c r="D149" s="79"/>
      <c r="E149" s="42">
        <f>SUMIF(Crew!A:A,B149,Crew!F:F)</f>
        <v>0</v>
      </c>
      <c r="F149" s="32" t="s">
        <v>917</v>
      </c>
      <c r="G149" s="311">
        <f t="shared" si="14"/>
        <v>0</v>
      </c>
      <c r="H149" s="305">
        <f t="shared" si="15"/>
        <v>0</v>
      </c>
      <c r="I149" s="306">
        <f>SUMIF(Crew!A:A,B149,Crew!N:N)</f>
        <v>0</v>
      </c>
    </row>
    <row r="150" spans="2:9" x14ac:dyDescent="0.2">
      <c r="B150" s="12" t="s">
        <v>356</v>
      </c>
      <c r="C150" s="4" t="str">
        <f>VLOOKUP(LEFT(B150,3),Parameters!E:F,2,0)</f>
        <v>Scenic Artist</v>
      </c>
      <c r="D150" s="79"/>
      <c r="E150" s="42">
        <f>SUMIF(Crew!A:A,B150,Crew!F:F)</f>
        <v>0</v>
      </c>
      <c r="F150" s="32" t="s">
        <v>917</v>
      </c>
      <c r="G150" s="311">
        <f t="shared" si="14"/>
        <v>0</v>
      </c>
      <c r="H150" s="305">
        <f t="shared" si="15"/>
        <v>0</v>
      </c>
      <c r="I150" s="306">
        <f>SUMIF(Crew!A:A,B150,Crew!N:N)</f>
        <v>0</v>
      </c>
    </row>
    <row r="151" spans="2:9" x14ac:dyDescent="0.2">
      <c r="B151" s="12" t="s">
        <v>358</v>
      </c>
      <c r="C151" s="4" t="str">
        <f>VLOOKUP(LEFT(B151,3),Parameters!E:F,2,0)</f>
        <v>Signwriter</v>
      </c>
      <c r="D151" s="79"/>
      <c r="E151" s="42">
        <f>SUMIF(Crew!A:A,B151,Crew!F:F)</f>
        <v>0</v>
      </c>
      <c r="F151" s="32" t="s">
        <v>917</v>
      </c>
      <c r="G151" s="311">
        <f t="shared" si="14"/>
        <v>0</v>
      </c>
      <c r="H151" s="305">
        <f t="shared" si="15"/>
        <v>0</v>
      </c>
      <c r="I151" s="306">
        <f>SUMIF(Crew!A:A,B151,Crew!N:N)</f>
        <v>0</v>
      </c>
    </row>
    <row r="152" spans="2:9" x14ac:dyDescent="0.2">
      <c r="B152" s="12" t="s">
        <v>360</v>
      </c>
      <c r="C152" s="4" t="str">
        <f>VLOOKUP(LEFT(B152,3),Parameters!E:F,2,0)</f>
        <v>Stagehand / Chargehand</v>
      </c>
      <c r="D152" s="79"/>
      <c r="E152" s="42">
        <f>SUMIF(Crew!A:A,B152,Crew!F:F)</f>
        <v>0</v>
      </c>
      <c r="F152" s="32" t="s">
        <v>917</v>
      </c>
      <c r="G152" s="311">
        <f t="shared" si="14"/>
        <v>0</v>
      </c>
      <c r="H152" s="305">
        <f t="shared" si="15"/>
        <v>0</v>
      </c>
      <c r="I152" s="306">
        <f>SUMIF(Crew!A:A,B152,Crew!N:N)</f>
        <v>0</v>
      </c>
    </row>
    <row r="153" spans="2:9" x14ac:dyDescent="0.2">
      <c r="B153" s="12" t="s">
        <v>362</v>
      </c>
      <c r="C153" s="4" t="str">
        <f>VLOOKUP(LEFT(B153,3),Parameters!E:F,2,0)</f>
        <v>Drapesman</v>
      </c>
      <c r="D153" s="79"/>
      <c r="E153" s="42">
        <f>SUMIF(Crew!A:A,B153,Crew!F:F)</f>
        <v>0</v>
      </c>
      <c r="F153" s="32" t="s">
        <v>917</v>
      </c>
      <c r="G153" s="311">
        <f t="shared" si="14"/>
        <v>0</v>
      </c>
      <c r="H153" s="305">
        <f t="shared" si="15"/>
        <v>0</v>
      </c>
      <c r="I153" s="306">
        <f>SUMIF(Crew!A:A,B153,Crew!N:N)</f>
        <v>0</v>
      </c>
    </row>
    <row r="154" spans="2:9" x14ac:dyDescent="0.2">
      <c r="B154" s="12" t="s">
        <v>364</v>
      </c>
      <c r="C154" s="4" t="str">
        <f>VLOOKUP(LEFT(B154,3),Parameters!E:F,2,0)</f>
        <v>Safety Co-Ordinator</v>
      </c>
      <c r="D154" s="79"/>
      <c r="E154" s="42">
        <f>SUMIF(Crew!A:A,B154,Crew!F:F)</f>
        <v>0</v>
      </c>
      <c r="F154" s="32" t="s">
        <v>917</v>
      </c>
      <c r="G154" s="311">
        <f t="shared" si="14"/>
        <v>0</v>
      </c>
      <c r="H154" s="305">
        <f t="shared" si="15"/>
        <v>0</v>
      </c>
      <c r="I154" s="306">
        <f>SUMIF(Crew!A:A,B154,Crew!N:N)</f>
        <v>0</v>
      </c>
    </row>
    <row r="155" spans="2:9" x14ac:dyDescent="0.2">
      <c r="B155" s="12" t="s">
        <v>366</v>
      </c>
      <c r="C155" s="4" t="str">
        <f>VLOOKUP(LEFT(B155,3),Parameters!E:F,2,0)</f>
        <v>Plumber</v>
      </c>
      <c r="D155" s="79"/>
      <c r="E155" s="42">
        <f>SUMIF(Crew!A:A,B155,Crew!F:F)</f>
        <v>0</v>
      </c>
      <c r="F155" s="32" t="s">
        <v>917</v>
      </c>
      <c r="G155" s="311">
        <f t="shared" si="14"/>
        <v>0</v>
      </c>
      <c r="H155" s="305">
        <f t="shared" si="15"/>
        <v>0</v>
      </c>
      <c r="I155" s="306">
        <f>SUMIF(Crew!A:A,B155,Crew!N:N)</f>
        <v>0</v>
      </c>
    </row>
    <row r="156" spans="2:9" x14ac:dyDescent="0.2">
      <c r="B156" s="12" t="s">
        <v>368</v>
      </c>
      <c r="C156" s="4" t="str">
        <f>VLOOKUP(LEFT(B156,3),Parameters!E:F,2,0)</f>
        <v>Environmental Conservation</v>
      </c>
      <c r="D156" s="79"/>
      <c r="E156" s="42">
        <f>SUMIF(Crew!A:A,B156,Crew!F:F)</f>
        <v>0</v>
      </c>
      <c r="F156" s="32" t="s">
        <v>917</v>
      </c>
      <c r="G156" s="311">
        <f t="shared" si="14"/>
        <v>0</v>
      </c>
      <c r="H156" s="305">
        <f t="shared" si="15"/>
        <v>0</v>
      </c>
      <c r="I156" s="306">
        <f>SUMIF(Crew!A:A,B156,Crew!N:N)</f>
        <v>0</v>
      </c>
    </row>
    <row r="157" spans="2:9" x14ac:dyDescent="0.2">
      <c r="B157" s="14" t="str">
        <f>B132&amp;D157</f>
        <v>10Sub-Total</v>
      </c>
      <c r="C157" s="15"/>
      <c r="D157" s="336" t="s">
        <v>907</v>
      </c>
      <c r="E157" s="337"/>
      <c r="F157" s="16"/>
      <c r="G157" s="15"/>
      <c r="H157" s="309">
        <f>SUM(H133:H156)</f>
        <v>0</v>
      </c>
      <c r="I157" s="310">
        <f>SUM(I133:I156)</f>
        <v>0</v>
      </c>
    </row>
    <row r="158" spans="2:9" ht="7.5" customHeight="1" x14ac:dyDescent="0.2">
      <c r="B158" s="2"/>
      <c r="C158" s="4"/>
      <c r="D158" s="4"/>
      <c r="E158" s="4"/>
      <c r="F158" s="4"/>
      <c r="G158" s="4"/>
      <c r="H158" s="5"/>
      <c r="I158" s="28">
        <f>I157</f>
        <v>0</v>
      </c>
    </row>
    <row r="159" spans="2:9" x14ac:dyDescent="0.2">
      <c r="B159" s="22"/>
      <c r="C159" s="8"/>
      <c r="D159" s="167"/>
      <c r="E159" s="17"/>
      <c r="F159" s="17"/>
      <c r="G159" s="18"/>
      <c r="H159" s="93"/>
      <c r="I159" s="27">
        <f>I174</f>
        <v>0</v>
      </c>
    </row>
    <row r="160" spans="2:9" x14ac:dyDescent="0.2">
      <c r="B160" s="23" t="s">
        <v>26</v>
      </c>
      <c r="C160" s="21" t="s">
        <v>918</v>
      </c>
      <c r="D160" s="169" t="s">
        <v>974</v>
      </c>
      <c r="E160" s="95"/>
      <c r="F160" s="95"/>
      <c r="G160" s="96"/>
      <c r="H160" s="151">
        <f>IF(H174=0,0,"Ep")</f>
        <v>0</v>
      </c>
      <c r="I160" s="150">
        <f>IF(I174=0,0,"Series")</f>
        <v>0</v>
      </c>
    </row>
    <row r="161" spans="2:9" ht="7.5" customHeight="1" x14ac:dyDescent="0.2">
      <c r="B161" s="175"/>
      <c r="C161" s="91"/>
      <c r="D161" s="16"/>
      <c r="E161" s="20"/>
      <c r="F161" s="20"/>
      <c r="G161" s="15"/>
      <c r="H161" s="176"/>
      <c r="I161" s="29">
        <v>0</v>
      </c>
    </row>
    <row r="162" spans="2:9" x14ac:dyDescent="0.2">
      <c r="B162" s="12" t="s">
        <v>370</v>
      </c>
      <c r="C162" s="9" t="str">
        <f>VLOOKUP(LEFT(B162,3),Parameters!E:F,2,0)</f>
        <v>Costume Designer</v>
      </c>
      <c r="D162" s="79"/>
      <c r="E162" s="42">
        <f>SUMIF(Crew!A:A,B162,Crew!F:F)</f>
        <v>0</v>
      </c>
      <c r="F162" s="32" t="s">
        <v>917</v>
      </c>
      <c r="G162" s="311">
        <f t="shared" ref="G162:G173" si="16">IF(ISERROR(I162/E162),0,(I162/E162))</f>
        <v>0</v>
      </c>
      <c r="H162" s="305">
        <f t="shared" ref="H162:H173" si="17">IF(ISERROR(ROUND(I162/Eps,2)),0,ROUND(I162/Eps,2))</f>
        <v>0</v>
      </c>
      <c r="I162" s="306">
        <f>SUMIF(Crew!A:A,B162,Crew!N:N)</f>
        <v>0</v>
      </c>
    </row>
    <row r="163" spans="2:9" x14ac:dyDescent="0.2">
      <c r="B163" s="12" t="s">
        <v>372</v>
      </c>
      <c r="C163" s="4" t="str">
        <f>VLOOKUP(LEFT(B163,3),Parameters!E:F,2,0)</f>
        <v>Costume Supervisor</v>
      </c>
      <c r="D163" s="79"/>
      <c r="E163" s="42">
        <f>SUMIF(Crew!A:A,B163,Crew!F:F)</f>
        <v>0</v>
      </c>
      <c r="F163" s="32" t="s">
        <v>917</v>
      </c>
      <c r="G163" s="311">
        <f t="shared" si="16"/>
        <v>0</v>
      </c>
      <c r="H163" s="305">
        <f t="shared" si="17"/>
        <v>0</v>
      </c>
      <c r="I163" s="306">
        <f>SUMIF(Crew!A:A,B163,Crew!N:N)</f>
        <v>0</v>
      </c>
    </row>
    <row r="164" spans="2:9" x14ac:dyDescent="0.2">
      <c r="B164" s="12" t="s">
        <v>374</v>
      </c>
      <c r="C164" s="4" t="str">
        <f>VLOOKUP(LEFT(B164,3),Parameters!E:F,2,0)</f>
        <v>Assistant Costume Designer</v>
      </c>
      <c r="D164" s="79"/>
      <c r="E164" s="42">
        <f>SUMIF(Crew!A:A,B164,Crew!F:F)</f>
        <v>0</v>
      </c>
      <c r="F164" s="32" t="s">
        <v>917</v>
      </c>
      <c r="G164" s="311">
        <f t="shared" si="16"/>
        <v>0</v>
      </c>
      <c r="H164" s="305">
        <f t="shared" si="17"/>
        <v>0</v>
      </c>
      <c r="I164" s="306">
        <f>SUMIF(Crew!A:A,B164,Crew!N:N)</f>
        <v>0</v>
      </c>
    </row>
    <row r="165" spans="2:9" x14ac:dyDescent="0.2">
      <c r="B165" s="12" t="s">
        <v>376</v>
      </c>
      <c r="C165" s="4" t="str">
        <f>VLOOKUP(LEFT(B165,3),Parameters!E:F,2,0)</f>
        <v>Costume Assistant</v>
      </c>
      <c r="D165" s="79"/>
      <c r="E165" s="42">
        <f>SUMIF(Crew!A:A,B165,Crew!F:F)</f>
        <v>0</v>
      </c>
      <c r="F165" s="32" t="s">
        <v>917</v>
      </c>
      <c r="G165" s="311">
        <f t="shared" si="16"/>
        <v>0</v>
      </c>
      <c r="H165" s="305">
        <f t="shared" si="17"/>
        <v>0</v>
      </c>
      <c r="I165" s="306">
        <f>SUMIF(Crew!A:A,B165,Crew!N:N)</f>
        <v>0</v>
      </c>
    </row>
    <row r="166" spans="2:9" x14ac:dyDescent="0.2">
      <c r="B166" s="12" t="s">
        <v>378</v>
      </c>
      <c r="C166" s="4" t="str">
        <f>VLOOKUP(LEFT(B166,3),Parameters!E:F,2,0)</f>
        <v>Costume Dailies</v>
      </c>
      <c r="D166" s="79"/>
      <c r="E166" s="42">
        <f>SUMIF(Crew!A:A,B166,Crew!F:F)</f>
        <v>0</v>
      </c>
      <c r="F166" s="32" t="s">
        <v>917</v>
      </c>
      <c r="G166" s="311">
        <f t="shared" si="16"/>
        <v>0</v>
      </c>
      <c r="H166" s="305">
        <f t="shared" si="17"/>
        <v>0</v>
      </c>
      <c r="I166" s="306">
        <f>SUMIF(Crew!A:A,B166,Crew!N:N)</f>
        <v>0</v>
      </c>
    </row>
    <row r="167" spans="2:9" x14ac:dyDescent="0.2">
      <c r="B167" s="12" t="s">
        <v>380</v>
      </c>
      <c r="C167" s="4" t="str">
        <f>VLOOKUP(LEFT(B167,3),Parameters!E:F,2,0)</f>
        <v>Dresser</v>
      </c>
      <c r="D167" s="79"/>
      <c r="E167" s="42">
        <f>SUMIF(Crew!A:A,B167,Crew!F:F)</f>
        <v>0</v>
      </c>
      <c r="F167" s="32" t="s">
        <v>917</v>
      </c>
      <c r="G167" s="311">
        <f t="shared" si="16"/>
        <v>0</v>
      </c>
      <c r="H167" s="305">
        <f t="shared" si="17"/>
        <v>0</v>
      </c>
      <c r="I167" s="306">
        <f>SUMIF(Crew!A:A,B167,Crew!N:N)</f>
        <v>0</v>
      </c>
    </row>
    <row r="168" spans="2:9" x14ac:dyDescent="0.2">
      <c r="B168" s="12" t="s">
        <v>382</v>
      </c>
      <c r="C168" s="4" t="str">
        <f>VLOOKUP(LEFT(B168,3),Parameters!E:F,2,0)</f>
        <v>Make-Up Designer</v>
      </c>
      <c r="D168" s="79"/>
      <c r="E168" s="42">
        <f>SUMIF(Crew!A:A,B168,Crew!F:F)</f>
        <v>0</v>
      </c>
      <c r="F168" s="32" t="s">
        <v>917</v>
      </c>
      <c r="G168" s="311">
        <f t="shared" si="16"/>
        <v>0</v>
      </c>
      <c r="H168" s="305">
        <f t="shared" si="17"/>
        <v>0</v>
      </c>
      <c r="I168" s="306">
        <f>SUMIF(Crew!A:A,B168,Crew!N:N)</f>
        <v>0</v>
      </c>
    </row>
    <row r="169" spans="2:9" x14ac:dyDescent="0.2">
      <c r="B169" s="12" t="s">
        <v>384</v>
      </c>
      <c r="C169" s="4" t="str">
        <f>VLOOKUP(LEFT(B169,3),Parameters!E:F,2,0)</f>
        <v>Make-Up Supervisor</v>
      </c>
      <c r="D169" s="79"/>
      <c r="E169" s="42">
        <f>SUMIF(Crew!A:A,B169,Crew!F:F)</f>
        <v>0</v>
      </c>
      <c r="F169" s="32" t="s">
        <v>917</v>
      </c>
      <c r="G169" s="311">
        <f t="shared" si="16"/>
        <v>0</v>
      </c>
      <c r="H169" s="305">
        <f t="shared" si="17"/>
        <v>0</v>
      </c>
      <c r="I169" s="306">
        <f>SUMIF(Crew!A:A,B169,Crew!N:N)</f>
        <v>0</v>
      </c>
    </row>
    <row r="170" spans="2:9" x14ac:dyDescent="0.2">
      <c r="B170" s="12" t="s">
        <v>386</v>
      </c>
      <c r="C170" s="4" t="str">
        <f>VLOOKUP(LEFT(B170,3),Parameters!E:F,2,0)</f>
        <v>Make-Up Artist</v>
      </c>
      <c r="D170" s="79"/>
      <c r="E170" s="42">
        <f>SUMIF(Crew!A:A,B170,Crew!F:F)</f>
        <v>0</v>
      </c>
      <c r="F170" s="32" t="s">
        <v>917</v>
      </c>
      <c r="G170" s="311">
        <f t="shared" si="16"/>
        <v>0</v>
      </c>
      <c r="H170" s="305">
        <f t="shared" si="17"/>
        <v>0</v>
      </c>
      <c r="I170" s="306">
        <f>SUMIF(Crew!A:A,B170,Crew!N:N)</f>
        <v>0</v>
      </c>
    </row>
    <row r="171" spans="2:9" x14ac:dyDescent="0.2">
      <c r="B171" s="12" t="s">
        <v>388</v>
      </c>
      <c r="C171" s="4" t="str">
        <f>VLOOKUP(LEFT(B171,3),Parameters!E:F,2,0)</f>
        <v>Make-Up Assistant</v>
      </c>
      <c r="D171" s="79"/>
      <c r="E171" s="42">
        <f>SUMIF(Crew!A:A,B171,Crew!F:F)</f>
        <v>0</v>
      </c>
      <c r="F171" s="32" t="s">
        <v>917</v>
      </c>
      <c r="G171" s="311">
        <f t="shared" si="16"/>
        <v>0</v>
      </c>
      <c r="H171" s="305">
        <f t="shared" si="17"/>
        <v>0</v>
      </c>
      <c r="I171" s="306">
        <f>SUMIF(Crew!A:A,B171,Crew!N:N)</f>
        <v>0</v>
      </c>
    </row>
    <row r="172" spans="2:9" x14ac:dyDescent="0.2">
      <c r="B172" s="12" t="s">
        <v>390</v>
      </c>
      <c r="C172" s="4" t="str">
        <f>VLOOKUP(LEFT(B172,3),Parameters!E:F,2,0)</f>
        <v>Make-Up Daillies</v>
      </c>
      <c r="D172" s="79"/>
      <c r="E172" s="42">
        <f>SUMIF(Crew!A:A,B172,Crew!F:F)</f>
        <v>0</v>
      </c>
      <c r="F172" s="32" t="s">
        <v>917</v>
      </c>
      <c r="G172" s="311">
        <f t="shared" si="16"/>
        <v>0</v>
      </c>
      <c r="H172" s="305">
        <f t="shared" si="17"/>
        <v>0</v>
      </c>
      <c r="I172" s="306">
        <f>SUMIF(Crew!A:A,B172,Crew!N:N)</f>
        <v>0</v>
      </c>
    </row>
    <row r="173" spans="2:9" x14ac:dyDescent="0.2">
      <c r="B173" s="12" t="s">
        <v>392</v>
      </c>
      <c r="C173" s="4" t="str">
        <f>VLOOKUP(LEFT(B173,3),Parameters!E:F,2,0)</f>
        <v>Hairdresser</v>
      </c>
      <c r="D173" s="79"/>
      <c r="E173" s="42">
        <f>SUMIF(Crew!A:A,B173,Crew!F:F)</f>
        <v>0</v>
      </c>
      <c r="F173" s="32" t="s">
        <v>917</v>
      </c>
      <c r="G173" s="311">
        <f t="shared" si="16"/>
        <v>0</v>
      </c>
      <c r="H173" s="305">
        <f t="shared" si="17"/>
        <v>0</v>
      </c>
      <c r="I173" s="306">
        <f>SUMIF(Crew!A:A,B173,Crew!N:N)</f>
        <v>0</v>
      </c>
    </row>
    <row r="174" spans="2:9" x14ac:dyDescent="0.2">
      <c r="B174" s="14" t="str">
        <f>B160&amp;D174</f>
        <v>11Sub-Total</v>
      </c>
      <c r="C174" s="15"/>
      <c r="D174" s="336" t="s">
        <v>907</v>
      </c>
      <c r="E174" s="337"/>
      <c r="F174" s="16"/>
      <c r="G174" s="15"/>
      <c r="H174" s="309">
        <f>SUM(H161:H173)</f>
        <v>0</v>
      </c>
      <c r="I174" s="310">
        <f>SUM(I161:I173)</f>
        <v>0</v>
      </c>
    </row>
    <row r="175" spans="2:9" ht="7.5" customHeight="1" x14ac:dyDescent="0.2">
      <c r="B175" s="2"/>
      <c r="C175" s="4"/>
      <c r="D175" s="4"/>
      <c r="E175" s="4"/>
      <c r="F175" s="4"/>
      <c r="G175" s="4"/>
      <c r="H175" s="5"/>
      <c r="I175" s="28">
        <f>I174</f>
        <v>0</v>
      </c>
    </row>
    <row r="176" spans="2:9" x14ac:dyDescent="0.2">
      <c r="B176" s="22"/>
      <c r="C176" s="8"/>
      <c r="D176" s="167"/>
      <c r="E176" s="17"/>
      <c r="F176" s="17"/>
      <c r="G176" s="18"/>
      <c r="H176" s="93"/>
      <c r="I176" s="27">
        <f>I185</f>
        <v>0</v>
      </c>
    </row>
    <row r="177" spans="2:9" x14ac:dyDescent="0.2">
      <c r="B177" s="23" t="s">
        <v>28</v>
      </c>
      <c r="C177" s="21" t="s">
        <v>29</v>
      </c>
      <c r="D177" s="169" t="s">
        <v>974</v>
      </c>
      <c r="E177" s="95"/>
      <c r="F177" s="95"/>
      <c r="G177" s="96"/>
      <c r="H177" s="151">
        <f>IF(H185=0,0,"Ep")</f>
        <v>0</v>
      </c>
      <c r="I177" s="150">
        <f>IF(I185=0,0,"Series")</f>
        <v>0</v>
      </c>
    </row>
    <row r="178" spans="2:9" ht="7.5" customHeight="1" x14ac:dyDescent="0.2">
      <c r="B178" s="175"/>
      <c r="C178" s="91"/>
      <c r="D178" s="16"/>
      <c r="E178" s="20"/>
      <c r="F178" s="20"/>
      <c r="G178" s="15"/>
      <c r="H178" s="176"/>
      <c r="I178" s="29">
        <v>0</v>
      </c>
    </row>
    <row r="179" spans="2:9" x14ac:dyDescent="0.2">
      <c r="B179" s="12" t="s">
        <v>394</v>
      </c>
      <c r="C179" s="9" t="str">
        <f>VLOOKUP(LEFT(B179,3),Parameters!E:F,2,0)</f>
        <v>Model Animators</v>
      </c>
      <c r="D179" s="79"/>
      <c r="E179" s="42">
        <f>SUMIF(Crew!A:A,B179,Crew!F:F)</f>
        <v>0</v>
      </c>
      <c r="F179" s="32" t="s">
        <v>917</v>
      </c>
      <c r="G179" s="311">
        <f t="shared" ref="G179:G184" si="18">IF(ISERROR(I179/E179),0,(I179/E179))</f>
        <v>0</v>
      </c>
      <c r="H179" s="305">
        <f t="shared" ref="H179:H184" si="19">IF(ISERROR(ROUND(I179/Eps,2)),0,ROUND(I179/Eps,2))</f>
        <v>0</v>
      </c>
      <c r="I179" s="306">
        <f>SUMIF(Crew!A:A,B179,Crew!N:N)</f>
        <v>0</v>
      </c>
    </row>
    <row r="180" spans="2:9" x14ac:dyDescent="0.2">
      <c r="B180" s="12" t="s">
        <v>396</v>
      </c>
      <c r="C180" s="4" t="str">
        <f>VLOOKUP(LEFT(B180,3),Parameters!E:F,2,0)</f>
        <v>Flash Animators / 2D Animators</v>
      </c>
      <c r="D180" s="79"/>
      <c r="E180" s="42">
        <f>SUMIF(Crew!A:A,B180,Crew!F:F)</f>
        <v>0</v>
      </c>
      <c r="F180" s="32" t="s">
        <v>917</v>
      </c>
      <c r="G180" s="311">
        <f t="shared" si="18"/>
        <v>0</v>
      </c>
      <c r="H180" s="305">
        <f t="shared" si="19"/>
        <v>0</v>
      </c>
      <c r="I180" s="306">
        <f>SUMIF(Crew!A:A,B180,Crew!N:N)</f>
        <v>0</v>
      </c>
    </row>
    <row r="181" spans="2:9" x14ac:dyDescent="0.2">
      <c r="B181" s="12" t="s">
        <v>398</v>
      </c>
      <c r="C181" s="4" t="str">
        <f>VLOOKUP(LEFT(B181,3),Parameters!E:F,2,0)</f>
        <v>CGI / 3D Animators</v>
      </c>
      <c r="D181" s="79"/>
      <c r="E181" s="42">
        <f>SUMIF(Crew!A:A,B181,Crew!F:F)</f>
        <v>0</v>
      </c>
      <c r="F181" s="32" t="s">
        <v>917</v>
      </c>
      <c r="G181" s="311">
        <f t="shared" si="18"/>
        <v>0</v>
      </c>
      <c r="H181" s="305">
        <f t="shared" si="19"/>
        <v>0</v>
      </c>
      <c r="I181" s="306">
        <f>SUMIF(Crew!A:A,B181,Crew!N:N)</f>
        <v>0</v>
      </c>
    </row>
    <row r="182" spans="2:9" x14ac:dyDescent="0.2">
      <c r="B182" s="12" t="s">
        <v>400</v>
      </c>
      <c r="C182" s="4" t="str">
        <f>VLOOKUP(LEFT(B182,3),Parameters!E:F,2,0)</f>
        <v>Drawn Animators</v>
      </c>
      <c r="D182" s="79"/>
      <c r="E182" s="42">
        <f>SUMIF(Crew!A:A,B182,Crew!F:F)</f>
        <v>0</v>
      </c>
      <c r="F182" s="32" t="s">
        <v>917</v>
      </c>
      <c r="G182" s="311">
        <f t="shared" si="18"/>
        <v>0</v>
      </c>
      <c r="H182" s="305">
        <f t="shared" si="19"/>
        <v>0</v>
      </c>
      <c r="I182" s="306">
        <f>SUMIF(Crew!A:A,B182,Crew!N:N)</f>
        <v>0</v>
      </c>
    </row>
    <row r="183" spans="2:9" x14ac:dyDescent="0.2">
      <c r="B183" s="12" t="s">
        <v>402</v>
      </c>
      <c r="C183" s="4" t="str">
        <f>VLOOKUP(LEFT(B183,3),Parameters!E:F,2,0)</f>
        <v>Overseas Animation</v>
      </c>
      <c r="D183" s="79"/>
      <c r="E183" s="42">
        <f>SUMIF(Crew!A:A,B183,Crew!F:F)</f>
        <v>0</v>
      </c>
      <c r="F183" s="32" t="s">
        <v>917</v>
      </c>
      <c r="G183" s="311">
        <f t="shared" si="18"/>
        <v>0</v>
      </c>
      <c r="H183" s="305">
        <f t="shared" si="19"/>
        <v>0</v>
      </c>
      <c r="I183" s="306">
        <f>SUMIF(Crew!A:A,B183,Crew!N:N)</f>
        <v>0</v>
      </c>
    </row>
    <row r="184" spans="2:9" x14ac:dyDescent="0.2">
      <c r="B184" s="12" t="s">
        <v>404</v>
      </c>
      <c r="C184" s="4" t="str">
        <f>VLOOKUP(LEFT(B184,3),Parameters!E:F,2,0)</f>
        <v>Overseas Supervisor</v>
      </c>
      <c r="D184" s="79"/>
      <c r="E184" s="42">
        <f>SUMIF(Crew!A:A,B184,Crew!F:F)</f>
        <v>0</v>
      </c>
      <c r="F184" s="32" t="s">
        <v>917</v>
      </c>
      <c r="G184" s="311">
        <f t="shared" si="18"/>
        <v>0</v>
      </c>
      <c r="H184" s="305">
        <f t="shared" si="19"/>
        <v>0</v>
      </c>
      <c r="I184" s="306">
        <f>SUMIF(Crew!A:A,B184,Crew!N:N)</f>
        <v>0</v>
      </c>
    </row>
    <row r="185" spans="2:9" x14ac:dyDescent="0.2">
      <c r="B185" s="14" t="str">
        <f>B177&amp;D185</f>
        <v>12Sub-Total</v>
      </c>
      <c r="C185" s="15"/>
      <c r="D185" s="336" t="s">
        <v>907</v>
      </c>
      <c r="E185" s="337"/>
      <c r="F185" s="16"/>
      <c r="G185" s="15"/>
      <c r="H185" s="309">
        <f>SUM(H178:H184)</f>
        <v>0</v>
      </c>
      <c r="I185" s="310">
        <f>SUM(I178:I184)</f>
        <v>0</v>
      </c>
    </row>
    <row r="186" spans="2:9" ht="7.5" customHeight="1" x14ac:dyDescent="0.2">
      <c r="B186" s="2"/>
      <c r="C186" s="4"/>
      <c r="D186" s="4"/>
      <c r="E186" s="4"/>
      <c r="F186" s="4"/>
      <c r="G186" s="4"/>
      <c r="H186" s="5"/>
      <c r="I186" s="28">
        <f>I185</f>
        <v>0</v>
      </c>
    </row>
    <row r="187" spans="2:9" x14ac:dyDescent="0.2">
      <c r="B187" s="22"/>
      <c r="C187" s="8"/>
      <c r="D187" s="167"/>
      <c r="E187" s="17"/>
      <c r="F187" s="17"/>
      <c r="G187" s="18"/>
      <c r="H187" s="93"/>
      <c r="I187" s="27">
        <f>I202</f>
        <v>0</v>
      </c>
    </row>
    <row r="188" spans="2:9" x14ac:dyDescent="0.2">
      <c r="B188" s="23" t="s">
        <v>30</v>
      </c>
      <c r="C188" s="21" t="s">
        <v>31</v>
      </c>
      <c r="D188" s="169" t="s">
        <v>974</v>
      </c>
      <c r="E188" s="95"/>
      <c r="F188" s="95"/>
      <c r="G188" s="96"/>
      <c r="H188" s="151">
        <f>IF(H202=0,0,"Ep")</f>
        <v>0</v>
      </c>
      <c r="I188" s="150">
        <f>IF(I202=0,0,"Series")</f>
        <v>0</v>
      </c>
    </row>
    <row r="189" spans="2:9" ht="7.5" customHeight="1" x14ac:dyDescent="0.2">
      <c r="B189" s="175"/>
      <c r="C189" s="91"/>
      <c r="D189" s="16"/>
      <c r="E189" s="20"/>
      <c r="F189" s="20"/>
      <c r="G189" s="15"/>
      <c r="H189" s="176"/>
      <c r="I189" s="29">
        <v>0</v>
      </c>
    </row>
    <row r="190" spans="2:9" x14ac:dyDescent="0.2">
      <c r="B190" s="12" t="s">
        <v>406</v>
      </c>
      <c r="C190" s="9" t="str">
        <f>VLOOKUP(LEFT(B190,3),Parameters!E:F,2,0)</f>
        <v>Post Production Supervisor</v>
      </c>
      <c r="D190" s="79"/>
      <c r="E190" s="42">
        <f>SUMIF(Crew!A:A,B190,Crew!F:F)</f>
        <v>0</v>
      </c>
      <c r="F190" s="32" t="s">
        <v>917</v>
      </c>
      <c r="G190" s="311">
        <f t="shared" ref="G190:G201" si="20">IF(ISERROR(I190/E190),0,(I190/E190))</f>
        <v>0</v>
      </c>
      <c r="H190" s="305">
        <f t="shared" ref="H190:H201" si="21">IF(ISERROR(ROUND(I190/Eps,2)),0,ROUND(I190/Eps,2))</f>
        <v>0</v>
      </c>
      <c r="I190" s="306">
        <f>SUMIF(Crew!A:A,B190,Crew!N:N)</f>
        <v>0</v>
      </c>
    </row>
    <row r="191" spans="2:9" x14ac:dyDescent="0.2">
      <c r="B191" s="12" t="s">
        <v>408</v>
      </c>
      <c r="C191" s="4" t="str">
        <f>VLOOKUP(LEFT(B191,3),Parameters!E:F,2,0)</f>
        <v>Editor</v>
      </c>
      <c r="D191" s="79"/>
      <c r="E191" s="42">
        <f>SUMIF(Crew!A:A,B191,Crew!F:F)</f>
        <v>0</v>
      </c>
      <c r="F191" s="32" t="s">
        <v>917</v>
      </c>
      <c r="G191" s="311">
        <f t="shared" si="20"/>
        <v>0</v>
      </c>
      <c r="H191" s="305">
        <f t="shared" si="21"/>
        <v>0</v>
      </c>
      <c r="I191" s="306">
        <f>SUMIF(Crew!A:A,B191,Crew!N:N)</f>
        <v>0</v>
      </c>
    </row>
    <row r="192" spans="2:9" x14ac:dyDescent="0.2">
      <c r="B192" s="12" t="s">
        <v>410</v>
      </c>
      <c r="C192" s="4" t="str">
        <f>VLOOKUP(LEFT(B192,3),Parameters!E:F,2,0)</f>
        <v>Editor Overtime</v>
      </c>
      <c r="D192" s="79"/>
      <c r="E192" s="42">
        <f>SUMIF(Crew!A:A,B192,Crew!F:F)</f>
        <v>0</v>
      </c>
      <c r="F192" s="32" t="s">
        <v>917</v>
      </c>
      <c r="G192" s="311">
        <f t="shared" si="20"/>
        <v>0</v>
      </c>
      <c r="H192" s="305">
        <f t="shared" si="21"/>
        <v>0</v>
      </c>
      <c r="I192" s="306">
        <f>SUMIF(Crew!A:A,B192,Crew!N:N)</f>
        <v>0</v>
      </c>
    </row>
    <row r="193" spans="2:9" x14ac:dyDescent="0.2">
      <c r="B193" s="12" t="s">
        <v>412</v>
      </c>
      <c r="C193" s="4" t="str">
        <f>VLOOKUP(LEFT(B193,3),Parameters!E:F,2,0)</f>
        <v>Assistant Editor</v>
      </c>
      <c r="D193" s="79"/>
      <c r="E193" s="42">
        <f>SUMIF(Crew!A:A,B193,Crew!F:F)</f>
        <v>0</v>
      </c>
      <c r="F193" s="32" t="s">
        <v>917</v>
      </c>
      <c r="G193" s="311">
        <f t="shared" si="20"/>
        <v>0</v>
      </c>
      <c r="H193" s="305">
        <f t="shared" si="21"/>
        <v>0</v>
      </c>
      <c r="I193" s="306">
        <f>SUMIF(Crew!A:A,B193,Crew!N:N)</f>
        <v>0</v>
      </c>
    </row>
    <row r="194" spans="2:9" x14ac:dyDescent="0.2">
      <c r="B194" s="12" t="s">
        <v>414</v>
      </c>
      <c r="C194" s="4" t="str">
        <f>VLOOKUP(LEFT(B194,3),Parameters!E:F,2,0)</f>
        <v>VT Editor</v>
      </c>
      <c r="D194" s="79"/>
      <c r="E194" s="42">
        <f>SUMIF(Crew!A:A,B194,Crew!F:F)</f>
        <v>0</v>
      </c>
      <c r="F194" s="32" t="s">
        <v>917</v>
      </c>
      <c r="G194" s="311">
        <f t="shared" si="20"/>
        <v>0</v>
      </c>
      <c r="H194" s="305">
        <f t="shared" si="21"/>
        <v>0</v>
      </c>
      <c r="I194" s="306">
        <f>SUMIF(Crew!A:A,B194,Crew!N:N)</f>
        <v>0</v>
      </c>
    </row>
    <row r="195" spans="2:9" x14ac:dyDescent="0.2">
      <c r="B195" s="12" t="s">
        <v>416</v>
      </c>
      <c r="C195" s="4" t="str">
        <f>VLOOKUP(LEFT(B195,3),Parameters!E:F,2,0)</f>
        <v>Dubbing Editor</v>
      </c>
      <c r="D195" s="79"/>
      <c r="E195" s="42">
        <f>SUMIF(Crew!A:A,B195,Crew!F:F)</f>
        <v>0</v>
      </c>
      <c r="F195" s="32" t="s">
        <v>917</v>
      </c>
      <c r="G195" s="311">
        <f t="shared" si="20"/>
        <v>0</v>
      </c>
      <c r="H195" s="305">
        <f t="shared" si="21"/>
        <v>0</v>
      </c>
      <c r="I195" s="306">
        <f>SUMIF(Crew!A:A,B195,Crew!N:N)</f>
        <v>0</v>
      </c>
    </row>
    <row r="196" spans="2:9" x14ac:dyDescent="0.2">
      <c r="B196" s="12" t="s">
        <v>418</v>
      </c>
      <c r="C196" s="4" t="str">
        <f>VLOOKUP(LEFT(B196,3),Parameters!E:F,2,0)</f>
        <v>Dubbing Assistant</v>
      </c>
      <c r="D196" s="79"/>
      <c r="E196" s="42">
        <f>SUMIF(Crew!A:A,B196,Crew!F:F)</f>
        <v>0</v>
      </c>
      <c r="F196" s="32" t="s">
        <v>917</v>
      </c>
      <c r="G196" s="311">
        <f t="shared" si="20"/>
        <v>0</v>
      </c>
      <c r="H196" s="305">
        <f t="shared" si="21"/>
        <v>0</v>
      </c>
      <c r="I196" s="306">
        <f>SUMIF(Crew!A:A,B196,Crew!N:N)</f>
        <v>0</v>
      </c>
    </row>
    <row r="197" spans="2:9" x14ac:dyDescent="0.2">
      <c r="B197" s="12" t="s">
        <v>420</v>
      </c>
      <c r="C197" s="4" t="str">
        <f>VLOOKUP(LEFT(B197,3),Parameters!E:F,2,0)</f>
        <v>Dubbing Mixer</v>
      </c>
      <c r="D197" s="79"/>
      <c r="E197" s="42">
        <f>SUMIF(Crew!A:A,B197,Crew!F:F)</f>
        <v>0</v>
      </c>
      <c r="F197" s="32" t="s">
        <v>917</v>
      </c>
      <c r="G197" s="311">
        <f t="shared" si="20"/>
        <v>0</v>
      </c>
      <c r="H197" s="305">
        <f t="shared" si="21"/>
        <v>0</v>
      </c>
      <c r="I197" s="306">
        <f>SUMIF(Crew!A:A,B197,Crew!N:N)</f>
        <v>0</v>
      </c>
    </row>
    <row r="198" spans="2:9" x14ac:dyDescent="0.2">
      <c r="B198" s="12" t="s">
        <v>422</v>
      </c>
      <c r="C198" s="4" t="str">
        <f>VLOOKUP(LEFT(B198,3),Parameters!E:F,2,0)</f>
        <v>Post Production Assistant / Runner</v>
      </c>
      <c r="D198" s="79"/>
      <c r="E198" s="42">
        <f>SUMIF(Crew!A:A,B198,Crew!F:F)</f>
        <v>0</v>
      </c>
      <c r="F198" s="32" t="s">
        <v>917</v>
      </c>
      <c r="G198" s="311">
        <f t="shared" si="20"/>
        <v>0</v>
      </c>
      <c r="H198" s="305">
        <f t="shared" si="21"/>
        <v>0</v>
      </c>
      <c r="I198" s="306">
        <f>SUMIF(Crew!A:A,B198,Crew!N:N)</f>
        <v>0</v>
      </c>
    </row>
    <row r="199" spans="2:9" x14ac:dyDescent="0.2">
      <c r="B199" s="12" t="s">
        <v>424</v>
      </c>
      <c r="C199" s="4" t="str">
        <f>VLOOKUP(LEFT(B199,3),Parameters!E:F,2,0)</f>
        <v>Transfer Assistant</v>
      </c>
      <c r="D199" s="79"/>
      <c r="E199" s="42">
        <f>SUMIF(Crew!A:A,B199,Crew!F:F)</f>
        <v>0</v>
      </c>
      <c r="F199" s="32" t="s">
        <v>917</v>
      </c>
      <c r="G199" s="311">
        <f t="shared" si="20"/>
        <v>0</v>
      </c>
      <c r="H199" s="305">
        <f t="shared" si="21"/>
        <v>0</v>
      </c>
      <c r="I199" s="306">
        <f>SUMIF(Crew!A:A,B199,Crew!N:N)</f>
        <v>0</v>
      </c>
    </row>
    <row r="200" spans="2:9" x14ac:dyDescent="0.2">
      <c r="B200" s="12" t="s">
        <v>426</v>
      </c>
      <c r="C200" s="4" t="str">
        <f>VLOOKUP(LEFT(B200,3),Parameters!E:F,2,0)</f>
        <v>Telecine Engineer</v>
      </c>
      <c r="D200" s="79"/>
      <c r="E200" s="42">
        <f>SUMIF(Crew!A:A,B200,Crew!F:F)</f>
        <v>0</v>
      </c>
      <c r="F200" s="32" t="s">
        <v>917</v>
      </c>
      <c r="G200" s="311">
        <f t="shared" si="20"/>
        <v>0</v>
      </c>
      <c r="H200" s="305">
        <f t="shared" si="21"/>
        <v>0</v>
      </c>
      <c r="I200" s="306">
        <f>SUMIF(Crew!A:A,B200,Crew!N:N)</f>
        <v>0</v>
      </c>
    </row>
    <row r="201" spans="2:9" x14ac:dyDescent="0.2">
      <c r="B201" s="12" t="s">
        <v>428</v>
      </c>
      <c r="C201" s="4" t="str">
        <f>VLOOKUP(LEFT(B201,3),Parameters!E:F,2,0)</f>
        <v>Captions Operator</v>
      </c>
      <c r="D201" s="79"/>
      <c r="E201" s="42">
        <f>SUMIF(Crew!A:A,B201,Crew!F:F)</f>
        <v>0</v>
      </c>
      <c r="F201" s="32" t="s">
        <v>917</v>
      </c>
      <c r="G201" s="311">
        <f t="shared" si="20"/>
        <v>0</v>
      </c>
      <c r="H201" s="305">
        <f t="shared" si="21"/>
        <v>0</v>
      </c>
      <c r="I201" s="306">
        <f>SUMIF(Crew!A:A,B201,Crew!N:N)</f>
        <v>0</v>
      </c>
    </row>
    <row r="202" spans="2:9" x14ac:dyDescent="0.2">
      <c r="B202" s="14" t="str">
        <f>B188&amp;D202</f>
        <v>13Sub-Total</v>
      </c>
      <c r="C202" s="15"/>
      <c r="D202" s="336" t="s">
        <v>907</v>
      </c>
      <c r="E202" s="337"/>
      <c r="F202" s="16"/>
      <c r="G202" s="15"/>
      <c r="H202" s="309">
        <f>SUM(H189:H201)</f>
        <v>0</v>
      </c>
      <c r="I202" s="310">
        <f>SUM(I189:I201)</f>
        <v>0</v>
      </c>
    </row>
    <row r="203" spans="2:9" ht="7.5" customHeight="1" x14ac:dyDescent="0.2">
      <c r="B203" s="2"/>
      <c r="C203" s="4"/>
      <c r="D203" s="4"/>
      <c r="E203" s="4"/>
      <c r="F203" s="4"/>
      <c r="G203" s="4"/>
      <c r="H203" s="5"/>
      <c r="I203" s="28">
        <f>I202</f>
        <v>0</v>
      </c>
    </row>
    <row r="204" spans="2:9" x14ac:dyDescent="0.2">
      <c r="B204" s="22"/>
      <c r="C204" s="8"/>
      <c r="D204" s="167"/>
      <c r="E204" s="17"/>
      <c r="F204" s="17"/>
      <c r="G204" s="18"/>
      <c r="H204" s="93"/>
      <c r="I204" s="27">
        <f>I221</f>
        <v>0</v>
      </c>
    </row>
    <row r="205" spans="2:9" x14ac:dyDescent="0.2">
      <c r="B205" s="23" t="s">
        <v>32</v>
      </c>
      <c r="C205" s="21" t="s">
        <v>33</v>
      </c>
      <c r="D205" s="166"/>
      <c r="E205" s="95"/>
      <c r="F205" s="95"/>
      <c r="G205" s="96"/>
      <c r="H205" s="151">
        <f>IF(H221=0,0,"Ep")</f>
        <v>0</v>
      </c>
      <c r="I205" s="150">
        <f>IF(I221=0,0,"Series")</f>
        <v>0</v>
      </c>
    </row>
    <row r="206" spans="2:9" ht="7.5" customHeight="1" x14ac:dyDescent="0.2">
      <c r="B206" s="175"/>
      <c r="C206" s="91"/>
      <c r="D206" s="16"/>
      <c r="E206" s="20"/>
      <c r="F206" s="20"/>
      <c r="G206" s="15"/>
      <c r="H206" s="176"/>
      <c r="I206" s="29">
        <v>0</v>
      </c>
    </row>
    <row r="207" spans="2:9" x14ac:dyDescent="0.2">
      <c r="B207" s="139" t="s">
        <v>430</v>
      </c>
      <c r="C207" s="136" t="str">
        <f>VLOOKUP(LEFT(B207,3),Parameters!E:F,2,0)</f>
        <v>Sets and Scenery</v>
      </c>
      <c r="D207" s="79"/>
      <c r="E207" s="103">
        <v>0</v>
      </c>
      <c r="F207" s="129" t="s">
        <v>98</v>
      </c>
      <c r="G207" s="303">
        <v>0</v>
      </c>
      <c r="H207" s="305">
        <f t="shared" ref="H207:H220" si="22">IF(ISERROR(ROUND(I207/Eps,2)),0,ROUND(I207/Eps,2))</f>
        <v>0</v>
      </c>
      <c r="I207" s="306">
        <f t="shared" ref="I207:I212" si="23">ROUND(E207*G207,2)</f>
        <v>0</v>
      </c>
    </row>
    <row r="208" spans="2:9" x14ac:dyDescent="0.2">
      <c r="B208" s="139" t="s">
        <v>432</v>
      </c>
      <c r="C208" s="126" t="str">
        <f>VLOOKUP(LEFT(B208,3),Parameters!E:F,2,0)</f>
        <v>Props Purchased</v>
      </c>
      <c r="D208" s="79"/>
      <c r="E208" s="103">
        <v>0</v>
      </c>
      <c r="F208" s="129" t="s">
        <v>98</v>
      </c>
      <c r="G208" s="303">
        <v>0</v>
      </c>
      <c r="H208" s="305">
        <f t="shared" si="22"/>
        <v>0</v>
      </c>
      <c r="I208" s="306">
        <f t="shared" si="23"/>
        <v>0</v>
      </c>
    </row>
    <row r="209" spans="2:9" x14ac:dyDescent="0.2">
      <c r="B209" s="139" t="s">
        <v>434</v>
      </c>
      <c r="C209" s="126" t="str">
        <f>VLOOKUP(LEFT(B209,3),Parameters!E:F,2,0)</f>
        <v>Props Hired</v>
      </c>
      <c r="D209" s="79"/>
      <c r="E209" s="103">
        <v>0</v>
      </c>
      <c r="F209" s="129" t="s">
        <v>98</v>
      </c>
      <c r="G209" s="303">
        <v>0</v>
      </c>
      <c r="H209" s="305">
        <f t="shared" si="22"/>
        <v>0</v>
      </c>
      <c r="I209" s="306">
        <f t="shared" si="23"/>
        <v>0</v>
      </c>
    </row>
    <row r="210" spans="2:9" x14ac:dyDescent="0.2">
      <c r="B210" s="139" t="s">
        <v>436</v>
      </c>
      <c r="C210" s="126" t="str">
        <f>VLOOKUP(LEFT(B210,3),Parameters!E:F,2,0)</f>
        <v>Sets and Props Storage</v>
      </c>
      <c r="D210" s="79"/>
      <c r="E210" s="103">
        <v>0</v>
      </c>
      <c r="F210" s="129" t="s">
        <v>98</v>
      </c>
      <c r="G210" s="303">
        <v>0</v>
      </c>
      <c r="H210" s="305">
        <f t="shared" si="22"/>
        <v>0</v>
      </c>
      <c r="I210" s="306">
        <f t="shared" si="23"/>
        <v>0</v>
      </c>
    </row>
    <row r="211" spans="2:9" x14ac:dyDescent="0.2">
      <c r="B211" s="139" t="s">
        <v>438</v>
      </c>
      <c r="C211" s="126" t="str">
        <f>VLOOKUP(LEFT(B211,3),Parameters!E:F,2,0)</f>
        <v>Sets and Props Transport</v>
      </c>
      <c r="D211" s="79"/>
      <c r="E211" s="103">
        <v>0</v>
      </c>
      <c r="F211" s="129" t="s">
        <v>98</v>
      </c>
      <c r="G211" s="303">
        <v>0</v>
      </c>
      <c r="H211" s="305">
        <f t="shared" si="22"/>
        <v>0</v>
      </c>
      <c r="I211" s="306">
        <f t="shared" si="23"/>
        <v>0</v>
      </c>
    </row>
    <row r="212" spans="2:9" x14ac:dyDescent="0.2">
      <c r="B212" s="139" t="s">
        <v>440</v>
      </c>
      <c r="C212" s="126" t="str">
        <f>VLOOKUP(LEFT(B212,3),Parameters!E:F,2,0)</f>
        <v>Action Vehicles</v>
      </c>
      <c r="D212" s="79"/>
      <c r="E212" s="103">
        <v>0</v>
      </c>
      <c r="F212" s="129" t="s">
        <v>98</v>
      </c>
      <c r="G212" s="303">
        <v>0</v>
      </c>
      <c r="H212" s="305">
        <f t="shared" si="22"/>
        <v>0</v>
      </c>
      <c r="I212" s="306">
        <f t="shared" si="23"/>
        <v>0</v>
      </c>
    </row>
    <row r="213" spans="2:9" x14ac:dyDescent="0.2">
      <c r="B213" s="139" t="s">
        <v>442</v>
      </c>
      <c r="C213" s="126" t="str">
        <f>VLOOKUP(LEFT(B213,3),Parameters!E:F,2,0)</f>
        <v>Special Effects - Materials - Art Dept</v>
      </c>
      <c r="D213" s="79"/>
      <c r="E213" s="103">
        <v>0</v>
      </c>
      <c r="F213" s="129" t="s">
        <v>98</v>
      </c>
      <c r="G213" s="303">
        <v>0</v>
      </c>
      <c r="H213" s="305">
        <f t="shared" si="22"/>
        <v>0</v>
      </c>
      <c r="I213" s="306">
        <f t="shared" ref="I213:I218" si="24">ROUND(E213*G213,2)</f>
        <v>0</v>
      </c>
    </row>
    <row r="214" spans="2:9" x14ac:dyDescent="0.2">
      <c r="B214" s="139" t="s">
        <v>444</v>
      </c>
      <c r="C214" s="126" t="str">
        <f>VLOOKUP(LEFT(B214,3),Parameters!E:F,2,0)</f>
        <v>Star Cloth</v>
      </c>
      <c r="D214" s="79"/>
      <c r="E214" s="103">
        <v>0</v>
      </c>
      <c r="F214" s="129" t="s">
        <v>98</v>
      </c>
      <c r="G214" s="303">
        <v>0</v>
      </c>
      <c r="H214" s="305">
        <f t="shared" si="22"/>
        <v>0</v>
      </c>
      <c r="I214" s="306">
        <f t="shared" si="24"/>
        <v>0</v>
      </c>
    </row>
    <row r="215" spans="2:9" x14ac:dyDescent="0.2">
      <c r="B215" s="139" t="s">
        <v>446</v>
      </c>
      <c r="C215" s="126" t="str">
        <f>VLOOKUP(LEFT(B215,3),Parameters!E:F,2,0)</f>
        <v>Scoring Equipment</v>
      </c>
      <c r="D215" s="79"/>
      <c r="E215" s="103">
        <v>0</v>
      </c>
      <c r="F215" s="129" t="s">
        <v>98</v>
      </c>
      <c r="G215" s="303">
        <v>0</v>
      </c>
      <c r="H215" s="305">
        <f t="shared" si="22"/>
        <v>0</v>
      </c>
      <c r="I215" s="306">
        <f t="shared" si="24"/>
        <v>0</v>
      </c>
    </row>
    <row r="216" spans="2:9" x14ac:dyDescent="0.2">
      <c r="B216" s="139" t="s">
        <v>448</v>
      </c>
      <c r="C216" s="126" t="str">
        <f>VLOOKUP(LEFT(B216,3),Parameters!E:F,2,0)</f>
        <v>Art Department Consumables</v>
      </c>
      <c r="D216" s="79"/>
      <c r="E216" s="103">
        <v>0</v>
      </c>
      <c r="F216" s="129" t="s">
        <v>98</v>
      </c>
      <c r="G216" s="303">
        <v>0</v>
      </c>
      <c r="H216" s="305">
        <f t="shared" si="22"/>
        <v>0</v>
      </c>
      <c r="I216" s="306">
        <f t="shared" si="24"/>
        <v>0</v>
      </c>
    </row>
    <row r="217" spans="2:9" x14ac:dyDescent="0.2">
      <c r="B217" s="139" t="s">
        <v>450</v>
      </c>
      <c r="C217" s="126" t="str">
        <f>VLOOKUP(LEFT(B217,3),Parameters!E:F,2,0)</f>
        <v>Animals and Handlers</v>
      </c>
      <c r="D217" s="79"/>
      <c r="E217" s="103">
        <v>0</v>
      </c>
      <c r="F217" s="129" t="s">
        <v>98</v>
      </c>
      <c r="G217" s="303">
        <v>0</v>
      </c>
      <c r="H217" s="305">
        <f t="shared" si="22"/>
        <v>0</v>
      </c>
      <c r="I217" s="306">
        <f t="shared" si="24"/>
        <v>0</v>
      </c>
    </row>
    <row r="218" spans="2:9" x14ac:dyDescent="0.2">
      <c r="B218" s="139" t="s">
        <v>452</v>
      </c>
      <c r="C218" s="126" t="str">
        <f>VLOOKUP(LEFT(B218,3),Parameters!E:F,2,0)</f>
        <v>Props - Loss and Damage</v>
      </c>
      <c r="D218" s="79"/>
      <c r="E218" s="103">
        <v>0</v>
      </c>
      <c r="F218" s="129" t="s">
        <v>98</v>
      </c>
      <c r="G218" s="303">
        <v>0</v>
      </c>
      <c r="H218" s="305">
        <f t="shared" si="22"/>
        <v>0</v>
      </c>
      <c r="I218" s="306">
        <f t="shared" si="24"/>
        <v>0</v>
      </c>
    </row>
    <row r="219" spans="2:9" x14ac:dyDescent="0.2">
      <c r="B219" s="139" t="s">
        <v>454</v>
      </c>
      <c r="C219" s="126" t="str">
        <f>VLOOKUP(LEFT(B219,3),Parameters!E:F,2,0)</f>
        <v>Armourer</v>
      </c>
      <c r="D219" s="79"/>
      <c r="E219" s="103">
        <v>0</v>
      </c>
      <c r="F219" s="129" t="s">
        <v>98</v>
      </c>
      <c r="G219" s="303">
        <v>0</v>
      </c>
      <c r="H219" s="305">
        <f t="shared" si="22"/>
        <v>0</v>
      </c>
      <c r="I219" s="306">
        <f>ROUND(E219*G219,2)</f>
        <v>0</v>
      </c>
    </row>
    <row r="220" spans="2:9" x14ac:dyDescent="0.2">
      <c r="B220" s="139" t="s">
        <v>456</v>
      </c>
      <c r="C220" s="126" t="str">
        <f>VLOOKUP(LEFT(B220,3),Parameters!E:F,2,0)</f>
        <v>Construction Workshop</v>
      </c>
      <c r="D220" s="79"/>
      <c r="E220" s="103">
        <v>0</v>
      </c>
      <c r="F220" s="129" t="s">
        <v>98</v>
      </c>
      <c r="G220" s="303">
        <v>0</v>
      </c>
      <c r="H220" s="305">
        <f t="shared" si="22"/>
        <v>0</v>
      </c>
      <c r="I220" s="306">
        <f>ROUND(E220*G220,2)</f>
        <v>0</v>
      </c>
    </row>
    <row r="221" spans="2:9" x14ac:dyDescent="0.2">
      <c r="B221" s="14" t="str">
        <f>B205&amp;D221</f>
        <v>14Sub-Total</v>
      </c>
      <c r="C221" s="15"/>
      <c r="D221" s="336" t="s">
        <v>907</v>
      </c>
      <c r="E221" s="337"/>
      <c r="F221" s="16"/>
      <c r="G221" s="15"/>
      <c r="H221" s="309">
        <f>SUM(H206:H220)</f>
        <v>0</v>
      </c>
      <c r="I221" s="310">
        <f>SUM(I206:I220)</f>
        <v>0</v>
      </c>
    </row>
    <row r="222" spans="2:9" ht="7.5" customHeight="1" x14ac:dyDescent="0.2">
      <c r="B222" s="2"/>
      <c r="C222" s="4"/>
      <c r="D222" s="4"/>
      <c r="E222" s="4"/>
      <c r="F222" s="4"/>
      <c r="G222" s="4"/>
      <c r="H222" s="5"/>
      <c r="I222" s="28">
        <f>I221</f>
        <v>0</v>
      </c>
    </row>
    <row r="223" spans="2:9" x14ac:dyDescent="0.2">
      <c r="B223" s="22"/>
      <c r="C223" s="8"/>
      <c r="D223" s="167"/>
      <c r="E223" s="17"/>
      <c r="F223" s="17"/>
      <c r="G223" s="18"/>
      <c r="H223" s="93"/>
      <c r="I223" s="27">
        <f>I235</f>
        <v>0</v>
      </c>
    </row>
    <row r="224" spans="2:9" x14ac:dyDescent="0.2">
      <c r="B224" s="23" t="s">
        <v>34</v>
      </c>
      <c r="C224" s="21" t="s">
        <v>919</v>
      </c>
      <c r="D224" s="166"/>
      <c r="E224" s="95"/>
      <c r="F224" s="95"/>
      <c r="G224" s="96"/>
      <c r="H224" s="151">
        <f>IF(H235=0,0,"Ep")</f>
        <v>0</v>
      </c>
      <c r="I224" s="150">
        <f>IF(I235=0,0,"Series")</f>
        <v>0</v>
      </c>
    </row>
    <row r="225" spans="2:9" ht="7.5" customHeight="1" x14ac:dyDescent="0.2">
      <c r="B225" s="175"/>
      <c r="C225" s="91"/>
      <c r="D225" s="16"/>
      <c r="E225" s="20"/>
      <c r="F225" s="20"/>
      <c r="G225" s="15"/>
      <c r="H225" s="176"/>
      <c r="I225" s="29">
        <v>0</v>
      </c>
    </row>
    <row r="226" spans="2:9" x14ac:dyDescent="0.2">
      <c r="B226" s="139" t="s">
        <v>458</v>
      </c>
      <c r="C226" s="136" t="str">
        <f>VLOOKUP(LEFT(B226,3),Parameters!E:F,2,0)</f>
        <v>Costumes Purchased</v>
      </c>
      <c r="D226" s="79" t="s">
        <v>1018</v>
      </c>
      <c r="E226" s="103">
        <v>0</v>
      </c>
      <c r="F226" s="129" t="s">
        <v>98</v>
      </c>
      <c r="G226" s="303">
        <v>0</v>
      </c>
      <c r="H226" s="305">
        <f t="shared" ref="H226:H234" si="25">IF(ISERROR(ROUND(I226/Eps,2)),0,ROUND(I226/Eps,2))</f>
        <v>0</v>
      </c>
      <c r="I226" s="306">
        <f>ROUND(E226*G226,2)</f>
        <v>0</v>
      </c>
    </row>
    <row r="227" spans="2:9" x14ac:dyDescent="0.2">
      <c r="B227" s="139" t="s">
        <v>460</v>
      </c>
      <c r="C227" s="126" t="str">
        <f>VLOOKUP(LEFT(B227,3),Parameters!E:F,2,0)</f>
        <v>Costumes Hired</v>
      </c>
      <c r="D227" s="79"/>
      <c r="E227" s="103">
        <v>0</v>
      </c>
      <c r="F227" s="129" t="s">
        <v>98</v>
      </c>
      <c r="G227" s="303">
        <v>0</v>
      </c>
      <c r="H227" s="305">
        <f t="shared" si="25"/>
        <v>0</v>
      </c>
      <c r="I227" s="306">
        <f t="shared" ref="I227:I234" si="26">ROUND(E227*G227,2)</f>
        <v>0</v>
      </c>
    </row>
    <row r="228" spans="2:9" x14ac:dyDescent="0.2">
      <c r="B228" s="139" t="s">
        <v>462</v>
      </c>
      <c r="C228" s="126" t="str">
        <f>VLOOKUP(LEFT(B228,3),Parameters!E:F,2,0)</f>
        <v>Costumes Sundries</v>
      </c>
      <c r="D228" s="79"/>
      <c r="E228" s="103">
        <v>0</v>
      </c>
      <c r="F228" s="129" t="s">
        <v>98</v>
      </c>
      <c r="G228" s="303">
        <v>0</v>
      </c>
      <c r="H228" s="305">
        <f t="shared" si="25"/>
        <v>0</v>
      </c>
      <c r="I228" s="306">
        <f t="shared" si="26"/>
        <v>0</v>
      </c>
    </row>
    <row r="229" spans="2:9" x14ac:dyDescent="0.2">
      <c r="B229" s="139" t="s">
        <v>464</v>
      </c>
      <c r="C229" s="126" t="str">
        <f>VLOOKUP(LEFT(B229,3),Parameters!E:F,2,0)</f>
        <v>Costumes / Make-up Box Allowances</v>
      </c>
      <c r="D229" s="79"/>
      <c r="E229" s="103">
        <v>0</v>
      </c>
      <c r="F229" s="129" t="s">
        <v>98</v>
      </c>
      <c r="G229" s="303">
        <v>0</v>
      </c>
      <c r="H229" s="305">
        <f t="shared" si="25"/>
        <v>0</v>
      </c>
      <c r="I229" s="306">
        <f t="shared" si="26"/>
        <v>0</v>
      </c>
    </row>
    <row r="230" spans="2:9" x14ac:dyDescent="0.2">
      <c r="B230" s="139" t="s">
        <v>466</v>
      </c>
      <c r="C230" s="126" t="str">
        <f>VLOOKUP(LEFT(B230,3),Parameters!E:F,2,0)</f>
        <v>Artist Dress Allowance</v>
      </c>
      <c r="D230" s="79"/>
      <c r="E230" s="103">
        <v>0</v>
      </c>
      <c r="F230" s="129" t="s">
        <v>98</v>
      </c>
      <c r="G230" s="303">
        <v>0</v>
      </c>
      <c r="H230" s="305">
        <f t="shared" si="25"/>
        <v>0</v>
      </c>
      <c r="I230" s="306">
        <f t="shared" si="26"/>
        <v>0</v>
      </c>
    </row>
    <row r="231" spans="2:9" x14ac:dyDescent="0.2">
      <c r="B231" s="139" t="s">
        <v>468</v>
      </c>
      <c r="C231" s="126" t="str">
        <f>VLOOKUP(LEFT(B231,3),Parameters!E:F,2,0)</f>
        <v>Make-Up</v>
      </c>
      <c r="D231" s="79"/>
      <c r="E231" s="103">
        <v>0</v>
      </c>
      <c r="F231" s="129" t="s">
        <v>98</v>
      </c>
      <c r="G231" s="303">
        <v>0</v>
      </c>
      <c r="H231" s="305">
        <f t="shared" si="25"/>
        <v>0</v>
      </c>
      <c r="I231" s="306">
        <f t="shared" si="26"/>
        <v>0</v>
      </c>
    </row>
    <row r="232" spans="2:9" x14ac:dyDescent="0.2">
      <c r="B232" s="139" t="s">
        <v>470</v>
      </c>
      <c r="C232" s="126" t="str">
        <f>VLOOKUP(LEFT(B232,3),Parameters!E:F,2,0)</f>
        <v>Wigs</v>
      </c>
      <c r="D232" s="79"/>
      <c r="E232" s="103">
        <v>0</v>
      </c>
      <c r="F232" s="129" t="s">
        <v>98</v>
      </c>
      <c r="G232" s="303">
        <v>0</v>
      </c>
      <c r="H232" s="305">
        <f t="shared" si="25"/>
        <v>0</v>
      </c>
      <c r="I232" s="306">
        <f t="shared" si="26"/>
        <v>0</v>
      </c>
    </row>
    <row r="233" spans="2:9" x14ac:dyDescent="0.2">
      <c r="B233" s="139" t="s">
        <v>472</v>
      </c>
      <c r="C233" s="126" t="str">
        <f>VLOOKUP(LEFT(B233,3),Parameters!E:F,2,0)</f>
        <v>Hair Cuts</v>
      </c>
      <c r="D233" s="79"/>
      <c r="E233" s="103">
        <v>0</v>
      </c>
      <c r="F233" s="129" t="s">
        <v>98</v>
      </c>
      <c r="G233" s="303">
        <v>0</v>
      </c>
      <c r="H233" s="305">
        <f t="shared" si="25"/>
        <v>0</v>
      </c>
      <c r="I233" s="306">
        <f t="shared" si="26"/>
        <v>0</v>
      </c>
    </row>
    <row r="234" spans="2:9" x14ac:dyDescent="0.2">
      <c r="B234" s="139" t="s">
        <v>474</v>
      </c>
      <c r="C234" s="126" t="str">
        <f>VLOOKUP(LEFT(B234,3),Parameters!E:F,2,0)</f>
        <v>Prosthetics</v>
      </c>
      <c r="D234" s="79"/>
      <c r="E234" s="103">
        <v>0</v>
      </c>
      <c r="F234" s="129" t="s">
        <v>98</v>
      </c>
      <c r="G234" s="303">
        <v>0</v>
      </c>
      <c r="H234" s="305">
        <f t="shared" si="25"/>
        <v>0</v>
      </c>
      <c r="I234" s="306">
        <f t="shared" si="26"/>
        <v>0</v>
      </c>
    </row>
    <row r="235" spans="2:9" x14ac:dyDescent="0.2">
      <c r="B235" s="14" t="str">
        <f>B224&amp;D235</f>
        <v>15Sub-Total</v>
      </c>
      <c r="C235" s="15"/>
      <c r="D235" s="336" t="s">
        <v>907</v>
      </c>
      <c r="E235" s="337"/>
      <c r="F235" s="16"/>
      <c r="G235" s="15"/>
      <c r="H235" s="309">
        <f>SUM(H225:H234)</f>
        <v>0</v>
      </c>
      <c r="I235" s="310">
        <f>SUM(I225:I234)</f>
        <v>0</v>
      </c>
    </row>
    <row r="236" spans="2:9" ht="7.5" customHeight="1" x14ac:dyDescent="0.2">
      <c r="B236" s="2"/>
      <c r="C236" s="4"/>
      <c r="D236" s="4"/>
      <c r="E236" s="4"/>
      <c r="F236" s="4"/>
      <c r="G236" s="4"/>
      <c r="H236" s="5"/>
      <c r="I236" s="28">
        <f>I235</f>
        <v>0</v>
      </c>
    </row>
    <row r="237" spans="2:9" x14ac:dyDescent="0.2">
      <c r="B237" s="22"/>
      <c r="C237" s="8"/>
      <c r="D237" s="167"/>
      <c r="E237" s="17"/>
      <c r="F237" s="17"/>
      <c r="G237" s="18"/>
      <c r="H237" s="93"/>
      <c r="I237" s="27">
        <f>I264</f>
        <v>0</v>
      </c>
    </row>
    <row r="238" spans="2:9" x14ac:dyDescent="0.2">
      <c r="B238" s="23" t="s">
        <v>36</v>
      </c>
      <c r="C238" s="21" t="s">
        <v>37</v>
      </c>
      <c r="D238" s="166"/>
      <c r="E238" s="95"/>
      <c r="F238" s="95"/>
      <c r="G238" s="96"/>
      <c r="H238" s="151">
        <f>IF(H264=0,0,"Ep")</f>
        <v>0</v>
      </c>
      <c r="I238" s="150">
        <f>IF(I264=0,0,"Series")</f>
        <v>0</v>
      </c>
    </row>
    <row r="239" spans="2:9" ht="7.5" customHeight="1" x14ac:dyDescent="0.2">
      <c r="B239" s="175"/>
      <c r="C239" s="91"/>
      <c r="D239" s="16"/>
      <c r="E239" s="20"/>
      <c r="F239" s="20"/>
      <c r="G239" s="15"/>
      <c r="H239" s="176"/>
      <c r="I239" s="29">
        <v>0</v>
      </c>
    </row>
    <row r="240" spans="2:9" x14ac:dyDescent="0.2">
      <c r="B240" s="139" t="s">
        <v>476</v>
      </c>
      <c r="C240" s="136" t="str">
        <f>VLOOKUP(LEFT(B240,3),Parameters!E:F,2,0)</f>
        <v>Camera Equipment</v>
      </c>
      <c r="D240" s="79"/>
      <c r="E240" s="103">
        <v>0</v>
      </c>
      <c r="F240" s="129" t="s">
        <v>98</v>
      </c>
      <c r="G240" s="303">
        <v>0</v>
      </c>
      <c r="H240" s="305">
        <f t="shared" ref="H240:H263" si="27">IF(ISERROR(ROUND(I240/Eps,2)),0,ROUND(I240/Eps,2))</f>
        <v>0</v>
      </c>
      <c r="I240" s="306">
        <f>ROUND(E240*G240,2)</f>
        <v>0</v>
      </c>
    </row>
    <row r="241" spans="2:9" x14ac:dyDescent="0.2">
      <c r="B241" s="139" t="s">
        <v>478</v>
      </c>
      <c r="C241" s="126" t="str">
        <f>VLOOKUP(LEFT(B241,3),Parameters!E:F,2,0)</f>
        <v>Steadicam</v>
      </c>
      <c r="D241" s="79"/>
      <c r="E241" s="103">
        <v>0</v>
      </c>
      <c r="F241" s="129" t="s">
        <v>98</v>
      </c>
      <c r="G241" s="303">
        <v>0</v>
      </c>
      <c r="H241" s="305">
        <f t="shared" si="27"/>
        <v>0</v>
      </c>
      <c r="I241" s="306">
        <f>ROUND(E241*G241,2)</f>
        <v>0</v>
      </c>
    </row>
    <row r="242" spans="2:9" x14ac:dyDescent="0.2">
      <c r="B242" s="139" t="s">
        <v>480</v>
      </c>
      <c r="C242" s="126" t="str">
        <f>VLOOKUP(LEFT(B242,3),Parameters!E:F,2,0)</f>
        <v>DV Hire</v>
      </c>
      <c r="D242" s="79"/>
      <c r="E242" s="103">
        <v>0</v>
      </c>
      <c r="F242" s="129" t="s">
        <v>98</v>
      </c>
      <c r="G242" s="303">
        <v>0</v>
      </c>
      <c r="H242" s="305">
        <f t="shared" si="27"/>
        <v>0</v>
      </c>
      <c r="I242" s="306">
        <f>ROUND(E242*G242,2)</f>
        <v>0</v>
      </c>
    </row>
    <row r="243" spans="2:9" x14ac:dyDescent="0.2">
      <c r="B243" s="139" t="s">
        <v>482</v>
      </c>
      <c r="C243" s="126" t="str">
        <f>VLOOKUP(LEFT(B243,3),Parameters!E:F,2,0)</f>
        <v>Camera Consumables</v>
      </c>
      <c r="D243" s="79"/>
      <c r="E243" s="103">
        <v>0</v>
      </c>
      <c r="F243" s="129" t="s">
        <v>98</v>
      </c>
      <c r="G243" s="303">
        <v>0</v>
      </c>
      <c r="H243" s="305">
        <f t="shared" si="27"/>
        <v>0</v>
      </c>
      <c r="I243" s="306">
        <f t="shared" ref="I243:I259" si="28">ROUND(E243*G243,2)</f>
        <v>0</v>
      </c>
    </row>
    <row r="244" spans="2:9" x14ac:dyDescent="0.2">
      <c r="B244" s="139" t="s">
        <v>484</v>
      </c>
      <c r="C244" s="126" t="str">
        <f>VLOOKUP(LEFT(B244,3),Parameters!E:F,2,0)</f>
        <v>Grip Equipment</v>
      </c>
      <c r="D244" s="79"/>
      <c r="E244" s="103">
        <v>0</v>
      </c>
      <c r="F244" s="129" t="s">
        <v>98</v>
      </c>
      <c r="G244" s="303">
        <v>0</v>
      </c>
      <c r="H244" s="305">
        <f t="shared" si="27"/>
        <v>0</v>
      </c>
      <c r="I244" s="306">
        <f t="shared" si="28"/>
        <v>0</v>
      </c>
    </row>
    <row r="245" spans="2:9" x14ac:dyDescent="0.2">
      <c r="B245" s="139" t="s">
        <v>486</v>
      </c>
      <c r="C245" s="126" t="str">
        <f>VLOOKUP(LEFT(B245,3),Parameters!E:F,2,0)</f>
        <v>Sound Equipment</v>
      </c>
      <c r="D245" s="79"/>
      <c r="E245" s="103">
        <v>0</v>
      </c>
      <c r="F245" s="129" t="s">
        <v>98</v>
      </c>
      <c r="G245" s="303">
        <v>0</v>
      </c>
      <c r="H245" s="305">
        <f t="shared" si="27"/>
        <v>0</v>
      </c>
      <c r="I245" s="306">
        <f t="shared" si="28"/>
        <v>0</v>
      </c>
    </row>
    <row r="246" spans="2:9" x14ac:dyDescent="0.2">
      <c r="B246" s="139" t="s">
        <v>488</v>
      </c>
      <c r="C246" s="126" t="str">
        <f>VLOOKUP(LEFT(B246,3),Parameters!E:F,2,0)</f>
        <v>Sound Consumables</v>
      </c>
      <c r="D246" s="79"/>
      <c r="E246" s="103">
        <v>0</v>
      </c>
      <c r="F246" s="129" t="s">
        <v>98</v>
      </c>
      <c r="G246" s="303">
        <v>0</v>
      </c>
      <c r="H246" s="305">
        <f t="shared" si="27"/>
        <v>0</v>
      </c>
      <c r="I246" s="306">
        <f t="shared" si="28"/>
        <v>0</v>
      </c>
    </row>
    <row r="247" spans="2:9" x14ac:dyDescent="0.2">
      <c r="B247" s="139" t="s">
        <v>490</v>
      </c>
      <c r="C247" s="126" t="str">
        <f>VLOOKUP(LEFT(B247,3),Parameters!E:F,2,0)</f>
        <v>Lighting Equipment</v>
      </c>
      <c r="D247" s="79"/>
      <c r="E247" s="103">
        <v>0</v>
      </c>
      <c r="F247" s="129" t="s">
        <v>98</v>
      </c>
      <c r="G247" s="303">
        <v>0</v>
      </c>
      <c r="H247" s="305">
        <f t="shared" si="27"/>
        <v>0</v>
      </c>
      <c r="I247" s="306">
        <f t="shared" si="28"/>
        <v>0</v>
      </c>
    </row>
    <row r="248" spans="2:9" x14ac:dyDescent="0.2">
      <c r="B248" s="139" t="s">
        <v>492</v>
      </c>
      <c r="C248" s="126" t="str">
        <f>VLOOKUP(LEFT(B248,3),Parameters!E:F,2,0)</f>
        <v>HD Equipment</v>
      </c>
      <c r="D248" s="79"/>
      <c r="E248" s="103">
        <v>0</v>
      </c>
      <c r="F248" s="129" t="s">
        <v>98</v>
      </c>
      <c r="G248" s="303">
        <v>0</v>
      </c>
      <c r="H248" s="305">
        <f t="shared" si="27"/>
        <v>0</v>
      </c>
      <c r="I248" s="306">
        <f t="shared" si="28"/>
        <v>0</v>
      </c>
    </row>
    <row r="249" spans="2:9" x14ac:dyDescent="0.2">
      <c r="B249" s="139" t="s">
        <v>494</v>
      </c>
      <c r="C249" s="126" t="str">
        <f>VLOOKUP(LEFT(B249,3),Parameters!E:F,2,0)</f>
        <v>Lighting Consumables</v>
      </c>
      <c r="D249" s="79"/>
      <c r="E249" s="103">
        <v>0</v>
      </c>
      <c r="F249" s="129" t="s">
        <v>98</v>
      </c>
      <c r="G249" s="303">
        <v>0</v>
      </c>
      <c r="H249" s="305">
        <f t="shared" si="27"/>
        <v>0</v>
      </c>
      <c r="I249" s="306">
        <f t="shared" si="28"/>
        <v>0</v>
      </c>
    </row>
    <row r="250" spans="2:9" x14ac:dyDescent="0.2">
      <c r="B250" s="139" t="s">
        <v>496</v>
      </c>
      <c r="C250" s="126" t="str">
        <f>VLOOKUP(LEFT(B250,3),Parameters!E:F,2,0)</f>
        <v>Autocue</v>
      </c>
      <c r="D250" s="79"/>
      <c r="E250" s="103">
        <v>0</v>
      </c>
      <c r="F250" s="129" t="s">
        <v>98</v>
      </c>
      <c r="G250" s="303">
        <v>0</v>
      </c>
      <c r="H250" s="305">
        <f t="shared" si="27"/>
        <v>0</v>
      </c>
      <c r="I250" s="306">
        <f t="shared" si="28"/>
        <v>0</v>
      </c>
    </row>
    <row r="251" spans="2:9" x14ac:dyDescent="0.2">
      <c r="B251" s="139" t="s">
        <v>498</v>
      </c>
      <c r="C251" s="126" t="str">
        <f>VLOOKUP(LEFT(B251,3),Parameters!E:F,2,0)</f>
        <v>Projector</v>
      </c>
      <c r="D251" s="79"/>
      <c r="E251" s="103">
        <v>0</v>
      </c>
      <c r="F251" s="129" t="s">
        <v>98</v>
      </c>
      <c r="G251" s="303">
        <v>0</v>
      </c>
      <c r="H251" s="305">
        <f t="shared" si="27"/>
        <v>0</v>
      </c>
      <c r="I251" s="306">
        <f t="shared" si="28"/>
        <v>0</v>
      </c>
    </row>
    <row r="252" spans="2:9" x14ac:dyDescent="0.2">
      <c r="B252" s="139" t="s">
        <v>500</v>
      </c>
      <c r="C252" s="126" t="str">
        <f>VLOOKUP(LEFT(B252,3),Parameters!E:F,2,0)</f>
        <v>Towers &amp; Cherry Pickers</v>
      </c>
      <c r="D252" s="79"/>
      <c r="E252" s="103">
        <v>0</v>
      </c>
      <c r="F252" s="129" t="s">
        <v>98</v>
      </c>
      <c r="G252" s="303">
        <v>0</v>
      </c>
      <c r="H252" s="305">
        <f t="shared" si="27"/>
        <v>0</v>
      </c>
      <c r="I252" s="306">
        <f t="shared" si="28"/>
        <v>0</v>
      </c>
    </row>
    <row r="253" spans="2:9" x14ac:dyDescent="0.2">
      <c r="B253" s="139" t="s">
        <v>502</v>
      </c>
      <c r="C253" s="126" t="str">
        <f>VLOOKUP(LEFT(B253,3),Parameters!E:F,2,0)</f>
        <v>Techno Crane / Cranes inc Jimmy Jib</v>
      </c>
      <c r="D253" s="79"/>
      <c r="E253" s="103">
        <v>0</v>
      </c>
      <c r="F253" s="129" t="s">
        <v>98</v>
      </c>
      <c r="G253" s="303">
        <v>0</v>
      </c>
      <c r="H253" s="305">
        <f t="shared" si="27"/>
        <v>0</v>
      </c>
      <c r="I253" s="306">
        <f t="shared" si="28"/>
        <v>0</v>
      </c>
    </row>
    <row r="254" spans="2:9" x14ac:dyDescent="0.2">
      <c r="B254" s="139" t="s">
        <v>504</v>
      </c>
      <c r="C254" s="126" t="str">
        <f>VLOOKUP(LEFT(B254,3),Parameters!E:F,2,0)</f>
        <v>Scaffolding</v>
      </c>
      <c r="D254" s="79"/>
      <c r="E254" s="103">
        <v>0</v>
      </c>
      <c r="F254" s="129" t="s">
        <v>98</v>
      </c>
      <c r="G254" s="303">
        <v>0</v>
      </c>
      <c r="H254" s="305">
        <f t="shared" si="27"/>
        <v>0</v>
      </c>
      <c r="I254" s="306">
        <f t="shared" si="28"/>
        <v>0</v>
      </c>
    </row>
    <row r="255" spans="2:9" x14ac:dyDescent="0.2">
      <c r="B255" s="139" t="s">
        <v>506</v>
      </c>
      <c r="C255" s="126" t="str">
        <f>VLOOKUP(LEFT(B255,3),Parameters!E:F,2,0)</f>
        <v>Electrical  Equipment</v>
      </c>
      <c r="D255" s="79"/>
      <c r="E255" s="103">
        <v>0</v>
      </c>
      <c r="F255" s="129" t="s">
        <v>98</v>
      </c>
      <c r="G255" s="303">
        <v>0</v>
      </c>
      <c r="H255" s="305">
        <f t="shared" si="27"/>
        <v>0</v>
      </c>
      <c r="I255" s="306">
        <f t="shared" si="28"/>
        <v>0</v>
      </c>
    </row>
    <row r="256" spans="2:9" x14ac:dyDescent="0.2">
      <c r="B256" s="139" t="s">
        <v>508</v>
      </c>
      <c r="C256" s="126" t="str">
        <f>VLOOKUP(LEFT(B256,3),Parameters!E:F,2,0)</f>
        <v>Generators</v>
      </c>
      <c r="D256" s="79"/>
      <c r="E256" s="103">
        <v>0</v>
      </c>
      <c r="F256" s="129" t="s">
        <v>98</v>
      </c>
      <c r="G256" s="303">
        <v>0</v>
      </c>
      <c r="H256" s="305">
        <f t="shared" si="27"/>
        <v>0</v>
      </c>
      <c r="I256" s="306">
        <f t="shared" si="28"/>
        <v>0</v>
      </c>
    </row>
    <row r="257" spans="2:9" x14ac:dyDescent="0.2">
      <c r="B257" s="139" t="s">
        <v>510</v>
      </c>
      <c r="C257" s="126" t="str">
        <f>VLOOKUP(LEFT(B257,3),Parameters!E:F,2,0)</f>
        <v>Walkie Talkies</v>
      </c>
      <c r="D257" s="79"/>
      <c r="E257" s="103">
        <v>0</v>
      </c>
      <c r="F257" s="129" t="s">
        <v>98</v>
      </c>
      <c r="G257" s="303">
        <v>0</v>
      </c>
      <c r="H257" s="305">
        <f t="shared" si="27"/>
        <v>0</v>
      </c>
      <c r="I257" s="306">
        <f t="shared" si="28"/>
        <v>0</v>
      </c>
    </row>
    <row r="258" spans="2:9" x14ac:dyDescent="0.2">
      <c r="B258" s="139" t="s">
        <v>512</v>
      </c>
      <c r="C258" s="126" t="str">
        <f>VLOOKUP(LEFT(B258,3),Parameters!E:F,2,0)</f>
        <v>Wide Angle Lens</v>
      </c>
      <c r="D258" s="79"/>
      <c r="E258" s="103">
        <v>0</v>
      </c>
      <c r="F258" s="129" t="s">
        <v>98</v>
      </c>
      <c r="G258" s="303">
        <v>0</v>
      </c>
      <c r="H258" s="305">
        <f t="shared" si="27"/>
        <v>0</v>
      </c>
      <c r="I258" s="306">
        <f t="shared" si="28"/>
        <v>0</v>
      </c>
    </row>
    <row r="259" spans="2:9" x14ac:dyDescent="0.2">
      <c r="B259" s="139" t="s">
        <v>514</v>
      </c>
      <c r="C259" s="126" t="str">
        <f>VLOOKUP(LEFT(B259,3),Parameters!E:F,2,0)</f>
        <v>Miscellaneous Production Equipment</v>
      </c>
      <c r="D259" s="79"/>
      <c r="E259" s="103">
        <v>0</v>
      </c>
      <c r="F259" s="129" t="s">
        <v>98</v>
      </c>
      <c r="G259" s="303">
        <v>0</v>
      </c>
      <c r="H259" s="305">
        <f t="shared" si="27"/>
        <v>0</v>
      </c>
      <c r="I259" s="306">
        <f t="shared" si="28"/>
        <v>0</v>
      </c>
    </row>
    <row r="260" spans="2:9" x14ac:dyDescent="0.2">
      <c r="B260" s="139" t="s">
        <v>516</v>
      </c>
      <c r="C260" s="126" t="str">
        <f>VLOOKUP(LEFT(B260,3),Parameters!E:F,2,0)</f>
        <v>Jimmy Jib</v>
      </c>
      <c r="D260" s="79"/>
      <c r="E260" s="103">
        <v>0</v>
      </c>
      <c r="F260" s="129" t="s">
        <v>98</v>
      </c>
      <c r="G260" s="303">
        <v>0</v>
      </c>
      <c r="H260" s="305">
        <f t="shared" si="27"/>
        <v>0</v>
      </c>
      <c r="I260" s="306">
        <f>ROUND(E260*G260,2)</f>
        <v>0</v>
      </c>
    </row>
    <row r="261" spans="2:9" x14ac:dyDescent="0.2">
      <c r="B261" s="139" t="s">
        <v>518</v>
      </c>
      <c r="C261" s="126" t="str">
        <f>VLOOKUP(LEFT(B261,3),Parameters!E:F,2,0)</f>
        <v>Covert Filming Equipment</v>
      </c>
      <c r="D261" s="79"/>
      <c r="E261" s="103">
        <v>0</v>
      </c>
      <c r="F261" s="129" t="s">
        <v>98</v>
      </c>
      <c r="G261" s="303">
        <v>0</v>
      </c>
      <c r="H261" s="305">
        <f t="shared" si="27"/>
        <v>0</v>
      </c>
      <c r="I261" s="306">
        <f>ROUND(E261*G261,2)</f>
        <v>0</v>
      </c>
    </row>
    <row r="262" spans="2:9" x14ac:dyDescent="0.2">
      <c r="B262" s="139" t="s">
        <v>520</v>
      </c>
      <c r="C262" s="126" t="str">
        <f>VLOOKUP(LEFT(B262,3),Parameters!E:F,2,0)</f>
        <v>CGI Animation Computer Equipment</v>
      </c>
      <c r="D262" s="79"/>
      <c r="E262" s="103">
        <v>0</v>
      </c>
      <c r="F262" s="129" t="s">
        <v>98</v>
      </c>
      <c r="G262" s="303">
        <v>0</v>
      </c>
      <c r="H262" s="305">
        <f t="shared" si="27"/>
        <v>0</v>
      </c>
      <c r="I262" s="306">
        <f>ROUND(E262*G262,2)</f>
        <v>0</v>
      </c>
    </row>
    <row r="263" spans="2:9" x14ac:dyDescent="0.2">
      <c r="B263" s="139" t="s">
        <v>522</v>
      </c>
      <c r="C263" s="126" t="str">
        <f>VLOOKUP(LEFT(B263,3),Parameters!E:F,2,0)</f>
        <v>Low Loaders / A Frames</v>
      </c>
      <c r="D263" s="79"/>
      <c r="E263" s="103">
        <v>0</v>
      </c>
      <c r="F263" s="129" t="s">
        <v>98</v>
      </c>
      <c r="G263" s="303">
        <v>0</v>
      </c>
      <c r="H263" s="305">
        <f t="shared" si="27"/>
        <v>0</v>
      </c>
      <c r="I263" s="306">
        <f>ROUND(E263*G263,2)</f>
        <v>0</v>
      </c>
    </row>
    <row r="264" spans="2:9" x14ac:dyDescent="0.2">
      <c r="B264" s="14" t="str">
        <f>B238&amp;D264</f>
        <v>16Sub-Total</v>
      </c>
      <c r="C264" s="15"/>
      <c r="D264" s="336" t="s">
        <v>907</v>
      </c>
      <c r="E264" s="337"/>
      <c r="F264" s="16"/>
      <c r="G264" s="15"/>
      <c r="H264" s="309">
        <f>SUM(H239:H263)</f>
        <v>0</v>
      </c>
      <c r="I264" s="310">
        <f>SUM(I239:I263)</f>
        <v>0</v>
      </c>
    </row>
    <row r="265" spans="2:9" ht="7.5" customHeight="1" x14ac:dyDescent="0.2">
      <c r="B265" s="2"/>
      <c r="C265" s="4"/>
      <c r="D265" s="4"/>
      <c r="E265" s="4"/>
      <c r="F265" s="4"/>
      <c r="G265" s="4"/>
      <c r="H265" s="5"/>
      <c r="I265" s="28">
        <f>I264</f>
        <v>0</v>
      </c>
    </row>
    <row r="266" spans="2:9" x14ac:dyDescent="0.2">
      <c r="B266" s="22"/>
      <c r="C266" s="8"/>
      <c r="D266" s="167"/>
      <c r="E266" s="17"/>
      <c r="F266" s="17"/>
      <c r="G266" s="18"/>
      <c r="H266" s="93"/>
      <c r="I266" s="27">
        <f>I275</f>
        <v>0</v>
      </c>
    </row>
    <row r="267" spans="2:9" x14ac:dyDescent="0.2">
      <c r="B267" s="23" t="s">
        <v>38</v>
      </c>
      <c r="C267" s="21" t="s">
        <v>525</v>
      </c>
      <c r="D267" s="166"/>
      <c r="E267" s="95"/>
      <c r="F267" s="95"/>
      <c r="G267" s="96"/>
      <c r="H267" s="151">
        <f>IF(H275=0,0,"Ep")</f>
        <v>0</v>
      </c>
      <c r="I267" s="150">
        <f>IF(I275=0,0,"Series")</f>
        <v>0</v>
      </c>
    </row>
    <row r="268" spans="2:9" ht="7.5" customHeight="1" x14ac:dyDescent="0.2">
      <c r="B268" s="175"/>
      <c r="C268" s="91"/>
      <c r="D268" s="16"/>
      <c r="E268" s="20"/>
      <c r="F268" s="20"/>
      <c r="G268" s="15"/>
      <c r="H268" s="176"/>
      <c r="I268" s="29">
        <v>0</v>
      </c>
    </row>
    <row r="269" spans="2:9" x14ac:dyDescent="0.2">
      <c r="B269" s="139" t="s">
        <v>524</v>
      </c>
      <c r="C269" s="136" t="str">
        <f>VLOOKUP(LEFT(B269,3),Parameters!E:F,2,0)</f>
        <v>Facility Packages</v>
      </c>
      <c r="D269" s="79"/>
      <c r="E269" s="103">
        <v>0</v>
      </c>
      <c r="F269" s="129" t="s">
        <v>98</v>
      </c>
      <c r="G269" s="303">
        <v>0</v>
      </c>
      <c r="H269" s="305">
        <f t="shared" ref="H269:H274" si="29">IF(ISERROR(ROUND(I269/Eps,2)),0,ROUND(I269/Eps,2))</f>
        <v>0</v>
      </c>
      <c r="I269" s="306">
        <f t="shared" ref="I269:I274" si="30">ROUND(E269*G269,2)</f>
        <v>0</v>
      </c>
    </row>
    <row r="270" spans="2:9" x14ac:dyDescent="0.2">
      <c r="B270" s="139" t="s">
        <v>526</v>
      </c>
      <c r="C270" s="126" t="str">
        <f>VLOOKUP(LEFT(B270,3),Parameters!E:F,2,0)</f>
        <v>Camera Crews (Incl. Equipment)</v>
      </c>
      <c r="D270" s="79"/>
      <c r="E270" s="103"/>
      <c r="F270" s="129" t="s">
        <v>98</v>
      </c>
      <c r="G270" s="303"/>
      <c r="H270" s="305">
        <f t="shared" si="29"/>
        <v>0</v>
      </c>
      <c r="I270" s="306">
        <f t="shared" si="30"/>
        <v>0</v>
      </c>
    </row>
    <row r="271" spans="2:9" x14ac:dyDescent="0.2">
      <c r="B271" s="139" t="s">
        <v>526</v>
      </c>
      <c r="C271" s="126" t="str">
        <f>VLOOKUP(LEFT(B271,3),Parameters!E:F,2,0)</f>
        <v>Camera Crews (Incl. Equipment)</v>
      </c>
      <c r="D271" s="79"/>
      <c r="E271" s="103"/>
      <c r="F271" s="129" t="s">
        <v>98</v>
      </c>
      <c r="G271" s="303"/>
      <c r="H271" s="305">
        <f t="shared" si="29"/>
        <v>0</v>
      </c>
      <c r="I271" s="306">
        <f t="shared" si="30"/>
        <v>0</v>
      </c>
    </row>
    <row r="272" spans="2:9" x14ac:dyDescent="0.2">
      <c r="B272" s="139" t="s">
        <v>528</v>
      </c>
      <c r="C272" s="126" t="str">
        <f>VLOOKUP(LEFT(B272,3),Parameters!E:F,2,0)</f>
        <v>Video Stringers</v>
      </c>
      <c r="D272" s="79"/>
      <c r="E272" s="103">
        <v>0</v>
      </c>
      <c r="F272" s="129" t="s">
        <v>98</v>
      </c>
      <c r="G272" s="303">
        <v>0</v>
      </c>
      <c r="H272" s="305">
        <f t="shared" si="29"/>
        <v>0</v>
      </c>
      <c r="I272" s="306">
        <f t="shared" si="30"/>
        <v>0</v>
      </c>
    </row>
    <row r="273" spans="2:9" x14ac:dyDescent="0.2">
      <c r="B273" s="139" t="s">
        <v>530</v>
      </c>
      <c r="C273" s="126" t="str">
        <f>VLOOKUP(LEFT(B273,3),Parameters!E:F,2,0)</f>
        <v>Second Unit</v>
      </c>
      <c r="D273" s="79"/>
      <c r="E273" s="103">
        <v>0</v>
      </c>
      <c r="F273" s="129" t="s">
        <v>98</v>
      </c>
      <c r="G273" s="303">
        <v>0</v>
      </c>
      <c r="H273" s="305">
        <f t="shared" si="29"/>
        <v>0</v>
      </c>
      <c r="I273" s="306">
        <f t="shared" si="30"/>
        <v>0</v>
      </c>
    </row>
    <row r="274" spans="2:9" x14ac:dyDescent="0.2">
      <c r="B274" s="139" t="s">
        <v>532</v>
      </c>
      <c r="C274" s="126" t="str">
        <f>VLOOKUP(LEFT(B274,3),Parameters!E:F,2,0)</f>
        <v>Second Camera</v>
      </c>
      <c r="D274" s="79"/>
      <c r="E274" s="103">
        <v>0</v>
      </c>
      <c r="F274" s="129" t="s">
        <v>98</v>
      </c>
      <c r="G274" s="303">
        <v>0</v>
      </c>
      <c r="H274" s="305">
        <f t="shared" si="29"/>
        <v>0</v>
      </c>
      <c r="I274" s="306">
        <f t="shared" si="30"/>
        <v>0</v>
      </c>
    </row>
    <row r="275" spans="2:9" x14ac:dyDescent="0.2">
      <c r="B275" s="14" t="str">
        <f>B267&amp;D275</f>
        <v>17Sub-Total</v>
      </c>
      <c r="C275" s="15"/>
      <c r="D275" s="336" t="s">
        <v>907</v>
      </c>
      <c r="E275" s="337"/>
      <c r="F275" s="16"/>
      <c r="G275" s="15"/>
      <c r="H275" s="309">
        <f>SUM(H268:H274)</f>
        <v>0</v>
      </c>
      <c r="I275" s="310">
        <f>SUM(I268:I274)</f>
        <v>0</v>
      </c>
    </row>
    <row r="276" spans="2:9" ht="7.5" customHeight="1" x14ac:dyDescent="0.2">
      <c r="B276" s="2"/>
      <c r="C276" s="4"/>
      <c r="D276" s="4"/>
      <c r="E276" s="4"/>
      <c r="F276" s="4"/>
      <c r="G276" s="4"/>
      <c r="H276" s="5"/>
      <c r="I276" s="28">
        <f>I275</f>
        <v>0</v>
      </c>
    </row>
    <row r="277" spans="2:9" x14ac:dyDescent="0.2">
      <c r="B277" s="22"/>
      <c r="C277" s="8"/>
      <c r="D277" s="167"/>
      <c r="E277" s="17"/>
      <c r="F277" s="17"/>
      <c r="G277" s="18"/>
      <c r="H277" s="93"/>
      <c r="I277" s="27">
        <f>I301</f>
        <v>0</v>
      </c>
    </row>
    <row r="278" spans="2:9" x14ac:dyDescent="0.2">
      <c r="B278" s="23" t="s">
        <v>40</v>
      </c>
      <c r="C278" s="21" t="s">
        <v>920</v>
      </c>
      <c r="D278" s="166"/>
      <c r="E278" s="95"/>
      <c r="F278" s="95"/>
      <c r="G278" s="96"/>
      <c r="H278" s="151">
        <f>IF(H301=0,0,"Ep")</f>
        <v>0</v>
      </c>
      <c r="I278" s="150">
        <f>IF(I301=0,0,"Series")</f>
        <v>0</v>
      </c>
    </row>
    <row r="279" spans="2:9" ht="7.5" customHeight="1" x14ac:dyDescent="0.2">
      <c r="B279" s="175"/>
      <c r="C279" s="91"/>
      <c r="D279" s="16"/>
      <c r="E279" s="20"/>
      <c r="F279" s="20"/>
      <c r="G279" s="15"/>
      <c r="H279" s="176"/>
      <c r="I279" s="29">
        <v>0</v>
      </c>
    </row>
    <row r="280" spans="2:9" x14ac:dyDescent="0.2">
      <c r="B280" s="139" t="s">
        <v>534</v>
      </c>
      <c r="C280" s="136" t="str">
        <f>VLOOKUP(LEFT(B280,3),Parameters!E:F,2,0)</f>
        <v>Studio</v>
      </c>
      <c r="D280" s="79"/>
      <c r="E280" s="103">
        <v>0</v>
      </c>
      <c r="F280" s="129" t="s">
        <v>98</v>
      </c>
      <c r="G280" s="303">
        <v>0</v>
      </c>
      <c r="H280" s="305">
        <f t="shared" ref="H280:H300" si="31">IF(ISERROR(ROUND(I280/Eps,2)),0,ROUND(I280/Eps,2))</f>
        <v>0</v>
      </c>
      <c r="I280" s="306">
        <f>ROUND(E280*G280,2)</f>
        <v>0</v>
      </c>
    </row>
    <row r="281" spans="2:9" x14ac:dyDescent="0.2">
      <c r="B281" s="139" t="s">
        <v>536</v>
      </c>
      <c r="C281" s="126" t="str">
        <f>VLOOKUP(LEFT(B281,3),Parameters!E:F,2,0)</f>
        <v>Sound Mobile</v>
      </c>
      <c r="D281" s="79"/>
      <c r="E281" s="103">
        <v>0</v>
      </c>
      <c r="F281" s="129" t="s">
        <v>98</v>
      </c>
      <c r="G281" s="303">
        <v>0</v>
      </c>
      <c r="H281" s="305">
        <f t="shared" si="31"/>
        <v>0</v>
      </c>
      <c r="I281" s="306">
        <f t="shared" ref="I281:I300" si="32">ROUND(E281*G281,2)</f>
        <v>0</v>
      </c>
    </row>
    <row r="282" spans="2:9" x14ac:dyDescent="0.2">
      <c r="B282" s="139" t="s">
        <v>538</v>
      </c>
      <c r="C282" s="126" t="str">
        <f>VLOOKUP(LEFT(B282,3),Parameters!E:F,2,0)</f>
        <v>Studio Security</v>
      </c>
      <c r="D282" s="79"/>
      <c r="E282" s="103">
        <v>0</v>
      </c>
      <c r="F282" s="129" t="s">
        <v>98</v>
      </c>
      <c r="G282" s="303">
        <v>0</v>
      </c>
      <c r="H282" s="305">
        <f t="shared" si="31"/>
        <v>0</v>
      </c>
      <c r="I282" s="306">
        <f t="shared" si="32"/>
        <v>0</v>
      </c>
    </row>
    <row r="283" spans="2:9" x14ac:dyDescent="0.2">
      <c r="B283" s="139" t="s">
        <v>540</v>
      </c>
      <c r="C283" s="126" t="str">
        <f>VLOOKUP(LEFT(B283,3),Parameters!E:F,2,0)</f>
        <v>Audiences and Tickets</v>
      </c>
      <c r="D283" s="79"/>
      <c r="E283" s="103">
        <v>0</v>
      </c>
      <c r="F283" s="129" t="s">
        <v>98</v>
      </c>
      <c r="G283" s="303">
        <v>0</v>
      </c>
      <c r="H283" s="305">
        <f t="shared" si="31"/>
        <v>0</v>
      </c>
      <c r="I283" s="306">
        <f t="shared" si="32"/>
        <v>0</v>
      </c>
    </row>
    <row r="284" spans="2:9" x14ac:dyDescent="0.2">
      <c r="B284" s="139" t="s">
        <v>542</v>
      </c>
      <c r="C284" s="126" t="str">
        <f>VLOOKUP(LEFT(B284,3),Parameters!E:F,2,0)</f>
        <v>VT Engineer</v>
      </c>
      <c r="D284" s="79"/>
      <c r="E284" s="103">
        <v>0</v>
      </c>
      <c r="F284" s="129" t="s">
        <v>98</v>
      </c>
      <c r="G284" s="303">
        <v>0</v>
      </c>
      <c r="H284" s="305">
        <f t="shared" si="31"/>
        <v>0</v>
      </c>
      <c r="I284" s="306">
        <f t="shared" si="32"/>
        <v>0</v>
      </c>
    </row>
    <row r="285" spans="2:9" x14ac:dyDescent="0.2">
      <c r="B285" s="139" t="s">
        <v>544</v>
      </c>
      <c r="C285" s="126" t="str">
        <f>VLOOKUP(LEFT(B285,3),Parameters!E:F,2,0)</f>
        <v>Studio Crew</v>
      </c>
      <c r="D285" s="79"/>
      <c r="E285" s="103">
        <v>0</v>
      </c>
      <c r="F285" s="129" t="s">
        <v>98</v>
      </c>
      <c r="G285" s="303">
        <v>0</v>
      </c>
      <c r="H285" s="305">
        <f t="shared" si="31"/>
        <v>0</v>
      </c>
      <c r="I285" s="306">
        <f t="shared" si="32"/>
        <v>0</v>
      </c>
    </row>
    <row r="286" spans="2:9" x14ac:dyDescent="0.2">
      <c r="B286" s="139" t="s">
        <v>546</v>
      </c>
      <c r="C286" s="126" t="str">
        <f>VLOOKUP(LEFT(B286,3),Parameters!E:F,2,0)</f>
        <v>Technical Supervisor</v>
      </c>
      <c r="D286" s="79"/>
      <c r="E286" s="103">
        <v>0</v>
      </c>
      <c r="F286" s="129" t="s">
        <v>98</v>
      </c>
      <c r="G286" s="303">
        <v>0</v>
      </c>
      <c r="H286" s="305">
        <f t="shared" si="31"/>
        <v>0</v>
      </c>
      <c r="I286" s="306">
        <f t="shared" si="32"/>
        <v>0</v>
      </c>
    </row>
    <row r="287" spans="2:9" x14ac:dyDescent="0.2">
      <c r="B287" s="139" t="s">
        <v>548</v>
      </c>
      <c r="C287" s="126" t="str">
        <f>VLOOKUP(LEFT(B287,3),Parameters!E:F,2,0)</f>
        <v>Engineer</v>
      </c>
      <c r="D287" s="79"/>
      <c r="E287" s="103">
        <v>0</v>
      </c>
      <c r="F287" s="129" t="s">
        <v>98</v>
      </c>
      <c r="G287" s="303">
        <v>0</v>
      </c>
      <c r="H287" s="305">
        <f t="shared" si="31"/>
        <v>0</v>
      </c>
      <c r="I287" s="306">
        <f t="shared" si="32"/>
        <v>0</v>
      </c>
    </row>
    <row r="288" spans="2:9" x14ac:dyDescent="0.2">
      <c r="B288" s="139" t="s">
        <v>550</v>
      </c>
      <c r="C288" s="126" t="str">
        <f>VLOOKUP(LEFT(B288,3),Parameters!E:F,2,0)</f>
        <v>Technical Assistant</v>
      </c>
      <c r="D288" s="79"/>
      <c r="E288" s="103">
        <v>0</v>
      </c>
      <c r="F288" s="129" t="s">
        <v>98</v>
      </c>
      <c r="G288" s="303">
        <v>0</v>
      </c>
      <c r="H288" s="305">
        <f t="shared" si="31"/>
        <v>0</v>
      </c>
      <c r="I288" s="306">
        <f t="shared" si="32"/>
        <v>0</v>
      </c>
    </row>
    <row r="289" spans="2:9" x14ac:dyDescent="0.2">
      <c r="B289" s="139" t="s">
        <v>552</v>
      </c>
      <c r="C289" s="126" t="str">
        <f>VLOOKUP(LEFT(B289,3),Parameters!E:F,2,0)</f>
        <v>CTF / MCR Labour</v>
      </c>
      <c r="D289" s="79"/>
      <c r="E289" s="103">
        <v>0</v>
      </c>
      <c r="F289" s="129" t="s">
        <v>98</v>
      </c>
      <c r="G289" s="303">
        <v>0</v>
      </c>
      <c r="H289" s="305">
        <f t="shared" si="31"/>
        <v>0</v>
      </c>
      <c r="I289" s="306">
        <f t="shared" si="32"/>
        <v>0</v>
      </c>
    </row>
    <row r="290" spans="2:9" x14ac:dyDescent="0.2">
      <c r="B290" s="139" t="s">
        <v>554</v>
      </c>
      <c r="C290" s="126" t="str">
        <f>VLOOKUP(LEFT(B290,3),Parameters!E:F,2,0)</f>
        <v>OB Unit</v>
      </c>
      <c r="D290" s="79"/>
      <c r="E290" s="103">
        <v>0</v>
      </c>
      <c r="F290" s="129" t="s">
        <v>98</v>
      </c>
      <c r="G290" s="303">
        <v>0</v>
      </c>
      <c r="H290" s="305">
        <f t="shared" si="31"/>
        <v>0</v>
      </c>
      <c r="I290" s="306">
        <f t="shared" si="32"/>
        <v>0</v>
      </c>
    </row>
    <row r="291" spans="2:9" x14ac:dyDescent="0.2">
      <c r="B291" s="139" t="s">
        <v>556</v>
      </c>
      <c r="C291" s="126" t="str">
        <f>VLOOKUP(LEFT(B291,3),Parameters!E:F,2,0)</f>
        <v>OB Security</v>
      </c>
      <c r="D291" s="79"/>
      <c r="E291" s="103">
        <v>0</v>
      </c>
      <c r="F291" s="129" t="s">
        <v>98</v>
      </c>
      <c r="G291" s="303">
        <v>0</v>
      </c>
      <c r="H291" s="305">
        <f t="shared" si="31"/>
        <v>0</v>
      </c>
      <c r="I291" s="306">
        <f t="shared" si="32"/>
        <v>0</v>
      </c>
    </row>
    <row r="292" spans="2:9" x14ac:dyDescent="0.2">
      <c r="B292" s="139" t="s">
        <v>558</v>
      </c>
      <c r="C292" s="126" t="str">
        <f>VLOOKUP(LEFT(B292,3),Parameters!E:F,2,0)</f>
        <v>Power</v>
      </c>
      <c r="D292" s="79"/>
      <c r="E292" s="103">
        <v>0</v>
      </c>
      <c r="F292" s="129" t="s">
        <v>98</v>
      </c>
      <c r="G292" s="303">
        <v>0</v>
      </c>
      <c r="H292" s="305">
        <f t="shared" si="31"/>
        <v>0</v>
      </c>
      <c r="I292" s="306">
        <f t="shared" si="32"/>
        <v>0</v>
      </c>
    </row>
    <row r="293" spans="2:9" x14ac:dyDescent="0.2">
      <c r="B293" s="139" t="s">
        <v>560</v>
      </c>
      <c r="C293" s="126" t="str">
        <f>VLOOKUP(LEFT(B293,3),Parameters!E:F,2,0)</f>
        <v>Cranes</v>
      </c>
      <c r="D293" s="79"/>
      <c r="E293" s="103">
        <v>0</v>
      </c>
      <c r="F293" s="129" t="s">
        <v>98</v>
      </c>
      <c r="G293" s="303">
        <v>0</v>
      </c>
      <c r="H293" s="305">
        <f t="shared" si="31"/>
        <v>0</v>
      </c>
      <c r="I293" s="306">
        <f>ROUND(E293*G293,2)</f>
        <v>0</v>
      </c>
    </row>
    <row r="294" spans="2:9" x14ac:dyDescent="0.2">
      <c r="B294" s="139" t="s">
        <v>562</v>
      </c>
      <c r="C294" s="126" t="str">
        <f>VLOOKUP(LEFT(B294,3),Parameters!E:F,2,0)</f>
        <v>Air Conditioning</v>
      </c>
      <c r="D294" s="79"/>
      <c r="E294" s="103">
        <v>0</v>
      </c>
      <c r="F294" s="129" t="s">
        <v>98</v>
      </c>
      <c r="G294" s="303">
        <v>0</v>
      </c>
      <c r="H294" s="305">
        <f t="shared" si="31"/>
        <v>0</v>
      </c>
      <c r="I294" s="306">
        <f>ROUND(E294*G294,2)</f>
        <v>0</v>
      </c>
    </row>
    <row r="295" spans="2:9" x14ac:dyDescent="0.2">
      <c r="B295" s="139" t="s">
        <v>564</v>
      </c>
      <c r="C295" s="126" t="str">
        <f>VLOOKUP(LEFT(B295,3),Parameters!E:F,2,0)</f>
        <v>Waste Disposal</v>
      </c>
      <c r="D295" s="79"/>
      <c r="E295" s="103">
        <v>0</v>
      </c>
      <c r="F295" s="129" t="s">
        <v>98</v>
      </c>
      <c r="G295" s="303">
        <v>0</v>
      </c>
      <c r="H295" s="305">
        <f t="shared" si="31"/>
        <v>0</v>
      </c>
      <c r="I295" s="306">
        <f>ROUND(E295*G295,2)</f>
        <v>0</v>
      </c>
    </row>
    <row r="296" spans="2:9" x14ac:dyDescent="0.2">
      <c r="B296" s="139" t="s">
        <v>566</v>
      </c>
      <c r="C296" s="126" t="str">
        <f>VLOOKUP(LEFT(B296,3),Parameters!E:F,2,0)</f>
        <v>Studio and OB Consumables</v>
      </c>
      <c r="D296" s="79"/>
      <c r="E296" s="103">
        <v>0</v>
      </c>
      <c r="F296" s="129" t="s">
        <v>98</v>
      </c>
      <c r="G296" s="303">
        <v>0</v>
      </c>
      <c r="H296" s="305">
        <f t="shared" si="31"/>
        <v>0</v>
      </c>
      <c r="I296" s="306">
        <f>ROUND(E296*G296,2)</f>
        <v>0</v>
      </c>
    </row>
    <row r="297" spans="2:9" x14ac:dyDescent="0.2">
      <c r="B297" s="139" t="s">
        <v>568</v>
      </c>
      <c r="C297" s="126" t="str">
        <f>VLOOKUP(LEFT(B297,3),Parameters!E:F,2,0)</f>
        <v>Water</v>
      </c>
      <c r="D297" s="79"/>
      <c r="E297" s="103">
        <v>0</v>
      </c>
      <c r="F297" s="129" t="s">
        <v>98</v>
      </c>
      <c r="G297" s="303">
        <v>0</v>
      </c>
      <c r="H297" s="305">
        <f t="shared" si="31"/>
        <v>0</v>
      </c>
      <c r="I297" s="306">
        <f t="shared" si="32"/>
        <v>0</v>
      </c>
    </row>
    <row r="298" spans="2:9" x14ac:dyDescent="0.2">
      <c r="B298" s="139" t="s">
        <v>570</v>
      </c>
      <c r="C298" s="126" t="str">
        <f>VLOOKUP(LEFT(B298,3),Parameters!E:F,2,0)</f>
        <v>Commentary Positions</v>
      </c>
      <c r="D298" s="79"/>
      <c r="E298" s="103">
        <v>0</v>
      </c>
      <c r="F298" s="129" t="s">
        <v>98</v>
      </c>
      <c r="G298" s="303">
        <v>0</v>
      </c>
      <c r="H298" s="305">
        <f t="shared" si="31"/>
        <v>0</v>
      </c>
      <c r="I298" s="306">
        <f t="shared" si="32"/>
        <v>0</v>
      </c>
    </row>
    <row r="299" spans="2:9" x14ac:dyDescent="0.2">
      <c r="B299" s="139" t="s">
        <v>572</v>
      </c>
      <c r="C299" s="126" t="str">
        <f>VLOOKUP(LEFT(B299,3),Parameters!E:F,2,0)</f>
        <v>Lines Bookings</v>
      </c>
      <c r="D299" s="79"/>
      <c r="E299" s="103">
        <v>0</v>
      </c>
      <c r="F299" s="129" t="s">
        <v>98</v>
      </c>
      <c r="G299" s="303">
        <v>0</v>
      </c>
      <c r="H299" s="305">
        <f t="shared" si="31"/>
        <v>0</v>
      </c>
      <c r="I299" s="306">
        <f t="shared" si="32"/>
        <v>0</v>
      </c>
    </row>
    <row r="300" spans="2:9" x14ac:dyDescent="0.2">
      <c r="B300" s="139" t="s">
        <v>574</v>
      </c>
      <c r="C300" s="126" t="str">
        <f>VLOOKUP(LEFT(B300,3),Parameters!E:F,2,0)</f>
        <v>Lines Feeds</v>
      </c>
      <c r="D300" s="79"/>
      <c r="E300" s="103">
        <v>0</v>
      </c>
      <c r="F300" s="129" t="s">
        <v>98</v>
      </c>
      <c r="G300" s="303">
        <v>0</v>
      </c>
      <c r="H300" s="305">
        <f t="shared" si="31"/>
        <v>0</v>
      </c>
      <c r="I300" s="306">
        <f t="shared" si="32"/>
        <v>0</v>
      </c>
    </row>
    <row r="301" spans="2:9" x14ac:dyDescent="0.2">
      <c r="B301" s="14" t="str">
        <f>B278&amp;D301</f>
        <v>18Sub-Total</v>
      </c>
      <c r="C301" s="15"/>
      <c r="D301" s="336" t="s">
        <v>907</v>
      </c>
      <c r="E301" s="337"/>
      <c r="F301" s="16"/>
      <c r="G301" s="15"/>
      <c r="H301" s="309">
        <f>SUM(H279:H300)</f>
        <v>0</v>
      </c>
      <c r="I301" s="310">
        <f>SUM(I279:I300)</f>
        <v>0</v>
      </c>
    </row>
    <row r="302" spans="2:9" ht="7.5" customHeight="1" x14ac:dyDescent="0.2">
      <c r="B302" s="2"/>
      <c r="C302" s="4"/>
      <c r="D302" s="4"/>
      <c r="E302" s="4"/>
      <c r="F302" s="4"/>
      <c r="G302" s="4"/>
      <c r="H302" s="5"/>
      <c r="I302" s="28">
        <f>I301</f>
        <v>0</v>
      </c>
    </row>
    <row r="303" spans="2:9" x14ac:dyDescent="0.2">
      <c r="B303" s="22"/>
      <c r="C303" s="8"/>
      <c r="D303" s="167"/>
      <c r="E303" s="17"/>
      <c r="F303" s="17"/>
      <c r="G303" s="18"/>
      <c r="H303" s="93"/>
      <c r="I303" s="27">
        <f>I326</f>
        <v>0</v>
      </c>
    </row>
    <row r="304" spans="2:9" x14ac:dyDescent="0.2">
      <c r="B304" s="23" t="s">
        <v>42</v>
      </c>
      <c r="C304" s="21" t="s">
        <v>43</v>
      </c>
      <c r="D304" s="166"/>
      <c r="E304" s="95"/>
      <c r="F304" s="95"/>
      <c r="G304" s="96"/>
      <c r="H304" s="151">
        <f>IF(H326=0,0,"Ep")</f>
        <v>0</v>
      </c>
      <c r="I304" s="150">
        <f>IF(I326=0,0,"Series")</f>
        <v>0</v>
      </c>
    </row>
    <row r="305" spans="2:9" ht="7.5" customHeight="1" x14ac:dyDescent="0.2">
      <c r="B305" s="175"/>
      <c r="C305" s="91"/>
      <c r="D305" s="16"/>
      <c r="E305" s="20"/>
      <c r="F305" s="20"/>
      <c r="G305" s="15"/>
      <c r="H305" s="176"/>
      <c r="I305" s="29">
        <v>0</v>
      </c>
    </row>
    <row r="306" spans="2:9" x14ac:dyDescent="0.2">
      <c r="B306" s="139" t="s">
        <v>576</v>
      </c>
      <c r="C306" s="136" t="str">
        <f>VLOOKUP(LEFT(B306,3),Parameters!E:F,2,0)</f>
        <v>Location  Facility Fees</v>
      </c>
      <c r="D306" s="79" t="s">
        <v>1019</v>
      </c>
      <c r="E306" s="103">
        <v>0</v>
      </c>
      <c r="F306" s="129" t="s">
        <v>98</v>
      </c>
      <c r="G306" s="303">
        <v>0</v>
      </c>
      <c r="H306" s="305">
        <f t="shared" ref="H306:H325" si="33">IF(ISERROR(ROUND(I306/Eps,2)),0,ROUND(I306/Eps,2))</f>
        <v>0</v>
      </c>
      <c r="I306" s="306">
        <f>ROUND(E306*G306,2)</f>
        <v>0</v>
      </c>
    </row>
    <row r="307" spans="2:9" x14ac:dyDescent="0.2">
      <c r="B307" s="139" t="s">
        <v>578</v>
      </c>
      <c r="C307" s="126" t="str">
        <f>VLOOKUP(LEFT(B307,3),Parameters!E:F,2,0)</f>
        <v>Location Security</v>
      </c>
      <c r="D307" s="79"/>
      <c r="E307" s="103">
        <v>0</v>
      </c>
      <c r="F307" s="129" t="s">
        <v>98</v>
      </c>
      <c r="G307" s="303">
        <v>0</v>
      </c>
      <c r="H307" s="305">
        <f t="shared" si="33"/>
        <v>0</v>
      </c>
      <c r="I307" s="306">
        <f t="shared" ref="I307:I325" si="34">ROUND(E307*G307,2)</f>
        <v>0</v>
      </c>
    </row>
    <row r="308" spans="2:9" x14ac:dyDescent="0.2">
      <c r="B308" s="139" t="s">
        <v>580</v>
      </c>
      <c r="C308" s="126" t="str">
        <f>VLOOKUP(LEFT(B308,3),Parameters!E:F,2,0)</f>
        <v>Catering - Dining Bus / Fuel</v>
      </c>
      <c r="D308" s="79"/>
      <c r="E308" s="103">
        <v>0</v>
      </c>
      <c r="F308" s="129" t="s">
        <v>98</v>
      </c>
      <c r="G308" s="303">
        <v>0</v>
      </c>
      <c r="H308" s="305">
        <f t="shared" si="33"/>
        <v>0</v>
      </c>
      <c r="I308" s="306">
        <f t="shared" si="34"/>
        <v>0</v>
      </c>
    </row>
    <row r="309" spans="2:9" x14ac:dyDescent="0.2">
      <c r="B309" s="139" t="s">
        <v>582</v>
      </c>
      <c r="C309" s="126" t="str">
        <f>VLOOKUP(LEFT(B309,3),Parameters!E:F,2,0)</f>
        <v>Catering - Meals</v>
      </c>
      <c r="D309" s="79"/>
      <c r="E309" s="103">
        <v>0</v>
      </c>
      <c r="F309" s="129" t="s">
        <v>98</v>
      </c>
      <c r="G309" s="303">
        <v>0</v>
      </c>
      <c r="H309" s="305">
        <f t="shared" si="33"/>
        <v>0</v>
      </c>
      <c r="I309" s="306">
        <f t="shared" si="34"/>
        <v>0</v>
      </c>
    </row>
    <row r="310" spans="2:9" x14ac:dyDescent="0.2">
      <c r="B310" s="139" t="s">
        <v>584</v>
      </c>
      <c r="C310" s="126" t="str">
        <f>VLOOKUP(LEFT(B310,3),Parameters!E:F,2,0)</f>
        <v>Catering - Labour / Overtime</v>
      </c>
      <c r="D310" s="79"/>
      <c r="E310" s="103">
        <v>0</v>
      </c>
      <c r="F310" s="129" t="s">
        <v>98</v>
      </c>
      <c r="G310" s="303">
        <v>0</v>
      </c>
      <c r="H310" s="305">
        <f t="shared" si="33"/>
        <v>0</v>
      </c>
      <c r="I310" s="306">
        <f t="shared" si="34"/>
        <v>0</v>
      </c>
    </row>
    <row r="311" spans="2:9" x14ac:dyDescent="0.2">
      <c r="B311" s="139" t="s">
        <v>586</v>
      </c>
      <c r="C311" s="126" t="str">
        <f>VLOOKUP(LEFT(B311,3),Parameters!E:F,2,0)</f>
        <v>Honey Wagon /  Portaloos</v>
      </c>
      <c r="D311" s="79"/>
      <c r="E311" s="103">
        <v>0</v>
      </c>
      <c r="F311" s="129" t="s">
        <v>98</v>
      </c>
      <c r="G311" s="303">
        <v>0</v>
      </c>
      <c r="H311" s="305">
        <f t="shared" si="33"/>
        <v>0</v>
      </c>
      <c r="I311" s="306">
        <f t="shared" si="34"/>
        <v>0</v>
      </c>
    </row>
    <row r="312" spans="2:9" x14ac:dyDescent="0.2">
      <c r="B312" s="139" t="s">
        <v>588</v>
      </c>
      <c r="C312" s="126" t="str">
        <f>VLOOKUP(LEFT(B312,3),Parameters!E:F,2,0)</f>
        <v>Make-Up / Wardrobe Trailers</v>
      </c>
      <c r="D312" s="79"/>
      <c r="E312" s="103">
        <v>0</v>
      </c>
      <c r="F312" s="129" t="s">
        <v>98</v>
      </c>
      <c r="G312" s="303">
        <v>0</v>
      </c>
      <c r="H312" s="305">
        <f t="shared" si="33"/>
        <v>0</v>
      </c>
      <c r="I312" s="306">
        <f t="shared" si="34"/>
        <v>0</v>
      </c>
    </row>
    <row r="313" spans="2:9" x14ac:dyDescent="0.2">
      <c r="B313" s="139" t="s">
        <v>590</v>
      </c>
      <c r="C313" s="126" t="str">
        <f>VLOOKUP(LEFT(B313,3),Parameters!E:F,2,0)</f>
        <v>Service Vehicles</v>
      </c>
      <c r="D313" s="79"/>
      <c r="E313" s="103">
        <v>0</v>
      </c>
      <c r="F313" s="129" t="s">
        <v>98</v>
      </c>
      <c r="G313" s="303">
        <v>0</v>
      </c>
      <c r="H313" s="305">
        <f t="shared" si="33"/>
        <v>0</v>
      </c>
      <c r="I313" s="306">
        <f t="shared" si="34"/>
        <v>0</v>
      </c>
    </row>
    <row r="314" spans="2:9" x14ac:dyDescent="0.2">
      <c r="B314" s="139" t="s">
        <v>592</v>
      </c>
      <c r="C314" s="126" t="str">
        <f>VLOOKUP(LEFT(B314,3),Parameters!E:F,2,0)</f>
        <v>Winnebagoes</v>
      </c>
      <c r="D314" s="79"/>
      <c r="E314" s="103">
        <v>0</v>
      </c>
      <c r="F314" s="129" t="s">
        <v>98</v>
      </c>
      <c r="G314" s="303">
        <v>0</v>
      </c>
      <c r="H314" s="305">
        <f t="shared" si="33"/>
        <v>0</v>
      </c>
      <c r="I314" s="306">
        <f t="shared" si="34"/>
        <v>0</v>
      </c>
    </row>
    <row r="315" spans="2:9" x14ac:dyDescent="0.2">
      <c r="B315" s="139" t="s">
        <v>594</v>
      </c>
      <c r="C315" s="126" t="str">
        <f>VLOOKUP(LEFT(B315,3),Parameters!E:F,2,0)</f>
        <v>Other Hired Transport</v>
      </c>
      <c r="D315" s="79"/>
      <c r="E315" s="103">
        <v>0</v>
      </c>
      <c r="F315" s="129" t="s">
        <v>98</v>
      </c>
      <c r="G315" s="303">
        <v>0</v>
      </c>
      <c r="H315" s="305">
        <f t="shared" si="33"/>
        <v>0</v>
      </c>
      <c r="I315" s="306">
        <f t="shared" si="34"/>
        <v>0</v>
      </c>
    </row>
    <row r="316" spans="2:9" x14ac:dyDescent="0.2">
      <c r="B316" s="139" t="s">
        <v>596</v>
      </c>
      <c r="C316" s="126" t="str">
        <f>VLOOKUP(LEFT(B316,3),Parameters!E:F,2,0)</f>
        <v>Helicopter / Boat Hire</v>
      </c>
      <c r="D316" s="79"/>
      <c r="E316" s="103">
        <v>0</v>
      </c>
      <c r="F316" s="129" t="s">
        <v>98</v>
      </c>
      <c r="G316" s="303">
        <v>0</v>
      </c>
      <c r="H316" s="305">
        <f t="shared" si="33"/>
        <v>0</v>
      </c>
      <c r="I316" s="306">
        <f>ROUND(E316*G316,2)</f>
        <v>0</v>
      </c>
    </row>
    <row r="317" spans="2:9" x14ac:dyDescent="0.2">
      <c r="B317" s="139" t="s">
        <v>598</v>
      </c>
      <c r="C317" s="126" t="str">
        <f>VLOOKUP(LEFT(B317,3),Parameters!E:F,2,0)</f>
        <v>Satellite Links</v>
      </c>
      <c r="D317" s="79"/>
      <c r="E317" s="103">
        <v>0</v>
      </c>
      <c r="F317" s="129" t="s">
        <v>98</v>
      </c>
      <c r="G317" s="303">
        <v>0</v>
      </c>
      <c r="H317" s="305">
        <f t="shared" si="33"/>
        <v>0</v>
      </c>
      <c r="I317" s="306">
        <f>ROUND(E317*G317,2)</f>
        <v>0</v>
      </c>
    </row>
    <row r="318" spans="2:9" x14ac:dyDescent="0.2">
      <c r="B318" s="139" t="s">
        <v>600</v>
      </c>
      <c r="C318" s="126" t="str">
        <f>VLOOKUP(LEFT(B318,3),Parameters!E:F,2,0)</f>
        <v>Telecom Lines / Cable Fees</v>
      </c>
      <c r="D318" s="79"/>
      <c r="E318" s="103">
        <v>0</v>
      </c>
      <c r="F318" s="129" t="s">
        <v>98</v>
      </c>
      <c r="G318" s="303">
        <v>0</v>
      </c>
      <c r="H318" s="305">
        <f t="shared" si="33"/>
        <v>0</v>
      </c>
      <c r="I318" s="306">
        <f>ROUND(E318*G318,2)</f>
        <v>0</v>
      </c>
    </row>
    <row r="319" spans="2:9" x14ac:dyDescent="0.2">
      <c r="B319" s="139" t="s">
        <v>602</v>
      </c>
      <c r="C319" s="126" t="str">
        <f>VLOOKUP(LEFT(B319,3),Parameters!E:F,2,0)</f>
        <v>Playouts</v>
      </c>
      <c r="D319" s="79"/>
      <c r="E319" s="103">
        <v>0</v>
      </c>
      <c r="F319" s="129" t="s">
        <v>98</v>
      </c>
      <c r="G319" s="303">
        <v>0</v>
      </c>
      <c r="H319" s="305">
        <f t="shared" si="33"/>
        <v>0</v>
      </c>
      <c r="I319" s="306">
        <f t="shared" si="34"/>
        <v>0</v>
      </c>
    </row>
    <row r="320" spans="2:9" x14ac:dyDescent="0.2">
      <c r="B320" s="139" t="s">
        <v>604</v>
      </c>
      <c r="C320" s="126" t="str">
        <f>VLOOKUP(LEFT(B320,3),Parameters!E:F,2,0)</f>
        <v>Medical / Health &amp; Safety</v>
      </c>
      <c r="D320" s="79"/>
      <c r="E320" s="103">
        <v>0</v>
      </c>
      <c r="F320" s="129" t="s">
        <v>98</v>
      </c>
      <c r="G320" s="303">
        <v>0</v>
      </c>
      <c r="H320" s="305">
        <f t="shared" si="33"/>
        <v>0</v>
      </c>
      <c r="I320" s="306">
        <f t="shared" si="34"/>
        <v>0</v>
      </c>
    </row>
    <row r="321" spans="2:9" x14ac:dyDescent="0.2">
      <c r="B321" s="139" t="s">
        <v>606</v>
      </c>
      <c r="C321" s="126" t="str">
        <f>VLOOKUP(LEFT(B321,3),Parameters!E:F,2,0)</f>
        <v>Facilities Deal</v>
      </c>
      <c r="D321" s="79"/>
      <c r="E321" s="103">
        <v>0</v>
      </c>
      <c r="F321" s="129" t="s">
        <v>98</v>
      </c>
      <c r="G321" s="303">
        <v>0</v>
      </c>
      <c r="H321" s="305">
        <f t="shared" si="33"/>
        <v>0</v>
      </c>
      <c r="I321" s="306">
        <f t="shared" si="34"/>
        <v>0</v>
      </c>
    </row>
    <row r="322" spans="2:9" x14ac:dyDescent="0.2">
      <c r="B322" s="139" t="s">
        <v>608</v>
      </c>
      <c r="C322" s="126" t="str">
        <f>VLOOKUP(LEFT(B322,3),Parameters!E:F,2,0)</f>
        <v>Facilities Fuel</v>
      </c>
      <c r="D322" s="79"/>
      <c r="E322" s="103">
        <v>0</v>
      </c>
      <c r="F322" s="129" t="s">
        <v>98</v>
      </c>
      <c r="G322" s="303">
        <v>0</v>
      </c>
      <c r="H322" s="305">
        <f t="shared" si="33"/>
        <v>0</v>
      </c>
      <c r="I322" s="306">
        <f t="shared" si="34"/>
        <v>0</v>
      </c>
    </row>
    <row r="323" spans="2:9" x14ac:dyDescent="0.2">
      <c r="B323" s="139" t="s">
        <v>610</v>
      </c>
      <c r="C323" s="126" t="str">
        <f>VLOOKUP(LEFT(B323,3),Parameters!E:F,2,0)</f>
        <v>Other Hired Facilities</v>
      </c>
      <c r="D323" s="79"/>
      <c r="E323" s="103">
        <v>0</v>
      </c>
      <c r="F323" s="129" t="s">
        <v>98</v>
      </c>
      <c r="G323" s="303">
        <v>0</v>
      </c>
      <c r="H323" s="305">
        <f t="shared" si="33"/>
        <v>0</v>
      </c>
      <c r="I323" s="306">
        <f t="shared" si="34"/>
        <v>0</v>
      </c>
    </row>
    <row r="324" spans="2:9" x14ac:dyDescent="0.2">
      <c r="B324" s="139" t="s">
        <v>612</v>
      </c>
      <c r="C324" s="126" t="str">
        <f>VLOOKUP(LEFT(B324,3),Parameters!E:F,2,0)</f>
        <v>Rehearsal Rooms</v>
      </c>
      <c r="D324" s="79"/>
      <c r="E324" s="103"/>
      <c r="F324" s="129" t="s">
        <v>98</v>
      </c>
      <c r="G324" s="303"/>
      <c r="H324" s="305">
        <f t="shared" si="33"/>
        <v>0</v>
      </c>
      <c r="I324" s="306">
        <f t="shared" si="34"/>
        <v>0</v>
      </c>
    </row>
    <row r="325" spans="2:9" x14ac:dyDescent="0.2">
      <c r="B325" s="139" t="s">
        <v>614</v>
      </c>
      <c r="C325" s="126" t="str">
        <f>VLOOKUP(LEFT(B325,3),Parameters!E:F,2,0)</f>
        <v>Readthrough Facilities</v>
      </c>
      <c r="D325" s="79"/>
      <c r="E325" s="103">
        <v>0</v>
      </c>
      <c r="F325" s="129" t="s">
        <v>98</v>
      </c>
      <c r="G325" s="303">
        <v>0</v>
      </c>
      <c r="H325" s="305">
        <f t="shared" si="33"/>
        <v>0</v>
      </c>
      <c r="I325" s="306">
        <f t="shared" si="34"/>
        <v>0</v>
      </c>
    </row>
    <row r="326" spans="2:9" x14ac:dyDescent="0.2">
      <c r="B326" s="14" t="str">
        <f>B304&amp;D326</f>
        <v>19Sub-Total</v>
      </c>
      <c r="C326" s="15"/>
      <c r="D326" s="336" t="s">
        <v>907</v>
      </c>
      <c r="E326" s="337"/>
      <c r="F326" s="16"/>
      <c r="G326" s="15"/>
      <c r="H326" s="309">
        <f>SUM(H305:H325)</f>
        <v>0</v>
      </c>
      <c r="I326" s="310">
        <f>SUM(I305:I325)</f>
        <v>0</v>
      </c>
    </row>
    <row r="327" spans="2:9" ht="7.5" customHeight="1" x14ac:dyDescent="0.2">
      <c r="B327" s="2"/>
      <c r="C327" s="4"/>
      <c r="D327" s="4"/>
      <c r="E327" s="4"/>
      <c r="F327" s="4"/>
      <c r="G327" s="4"/>
      <c r="H327" s="5"/>
      <c r="I327" s="28">
        <f>I326</f>
        <v>0</v>
      </c>
    </row>
    <row r="328" spans="2:9" x14ac:dyDescent="0.2">
      <c r="B328" s="22"/>
      <c r="C328" s="8"/>
      <c r="D328" s="167"/>
      <c r="E328" s="17"/>
      <c r="F328" s="17"/>
      <c r="G328" s="18"/>
      <c r="H328" s="93"/>
      <c r="I328" s="27">
        <f>I334</f>
        <v>0</v>
      </c>
    </row>
    <row r="329" spans="2:9" x14ac:dyDescent="0.2">
      <c r="B329" s="23" t="s">
        <v>44</v>
      </c>
      <c r="C329" s="21" t="s">
        <v>944</v>
      </c>
      <c r="D329" s="166"/>
      <c r="E329" s="95"/>
      <c r="F329" s="95"/>
      <c r="G329" s="96"/>
      <c r="H329" s="151">
        <f>IF(H334=0,0,"Ep")</f>
        <v>0</v>
      </c>
      <c r="I329" s="150">
        <f>IF(I334=0,0,"Series")</f>
        <v>0</v>
      </c>
    </row>
    <row r="330" spans="2:9" ht="7.5" customHeight="1" x14ac:dyDescent="0.2">
      <c r="B330" s="175"/>
      <c r="C330" s="91"/>
      <c r="D330" s="16"/>
      <c r="E330" s="20"/>
      <c r="F330" s="20"/>
      <c r="G330" s="15"/>
      <c r="H330" s="176"/>
      <c r="I330" s="29">
        <v>0</v>
      </c>
    </row>
    <row r="331" spans="2:9" x14ac:dyDescent="0.2">
      <c r="B331" s="139" t="s">
        <v>616</v>
      </c>
      <c r="C331" s="136" t="str">
        <f>VLOOKUP(LEFT(B331,3),Parameters!E:F,2,0)</f>
        <v>Tape Stock</v>
      </c>
      <c r="D331" s="79"/>
      <c r="E331" s="103"/>
      <c r="F331" s="129" t="s">
        <v>98</v>
      </c>
      <c r="G331" s="303"/>
      <c r="H331" s="305">
        <f>IF(ISERROR(ROUND(I331/Eps,2)),0,ROUND(I331/Eps,2))</f>
        <v>0</v>
      </c>
      <c r="I331" s="306">
        <f>ROUND(E331*G331,2)</f>
        <v>0</v>
      </c>
    </row>
    <row r="332" spans="2:9" x14ac:dyDescent="0.2">
      <c r="B332" s="139" t="s">
        <v>618</v>
      </c>
      <c r="C332" s="126" t="str">
        <f>VLOOKUP(LEFT(B332,3),Parameters!E:F,2,0)</f>
        <v>Film Stock</v>
      </c>
      <c r="D332" s="79"/>
      <c r="E332" s="103">
        <v>0</v>
      </c>
      <c r="F332" s="129" t="s">
        <v>98</v>
      </c>
      <c r="G332" s="303">
        <v>0</v>
      </c>
      <c r="H332" s="305">
        <f>IF(ISERROR(ROUND(I332/Eps,2)),0,ROUND(I332/Eps,2))</f>
        <v>0</v>
      </c>
      <c r="I332" s="306">
        <f>ROUND(E332*G332,2)</f>
        <v>0</v>
      </c>
    </row>
    <row r="333" spans="2:9" x14ac:dyDescent="0.2">
      <c r="B333" s="139" t="s">
        <v>620</v>
      </c>
      <c r="C333" s="126" t="str">
        <f>VLOOKUP(LEFT(B333,3),Parameters!E:F,2,0)</f>
        <v>Sound Tape Stock</v>
      </c>
      <c r="D333" s="79"/>
      <c r="E333" s="103">
        <v>0</v>
      </c>
      <c r="F333" s="129" t="s">
        <v>98</v>
      </c>
      <c r="G333" s="303">
        <v>0</v>
      </c>
      <c r="H333" s="305">
        <f>IF(ISERROR(ROUND(I333/Eps,2)),0,ROUND(I333/Eps,2))</f>
        <v>0</v>
      </c>
      <c r="I333" s="306">
        <f>ROUND(E333*G333,2)</f>
        <v>0</v>
      </c>
    </row>
    <row r="334" spans="2:9" x14ac:dyDescent="0.2">
      <c r="B334" s="14" t="str">
        <f>B329&amp;D334</f>
        <v>20Sub-Total</v>
      </c>
      <c r="C334" s="15"/>
      <c r="D334" s="336" t="s">
        <v>907</v>
      </c>
      <c r="E334" s="337"/>
      <c r="F334" s="16"/>
      <c r="G334" s="15"/>
      <c r="H334" s="309">
        <f>SUM(H330:H333)</f>
        <v>0</v>
      </c>
      <c r="I334" s="310">
        <f>SUM(I330:I333)</f>
        <v>0</v>
      </c>
    </row>
    <row r="335" spans="2:9" ht="7.5" customHeight="1" x14ac:dyDescent="0.2">
      <c r="B335" s="2"/>
      <c r="C335" s="4"/>
      <c r="D335" s="4"/>
      <c r="E335" s="4"/>
      <c r="F335" s="4"/>
      <c r="G335" s="4"/>
      <c r="H335" s="5"/>
      <c r="I335" s="28">
        <f>I334</f>
        <v>0</v>
      </c>
    </row>
    <row r="336" spans="2:9" x14ac:dyDescent="0.2">
      <c r="B336" s="22"/>
      <c r="C336" s="8"/>
      <c r="D336" s="167"/>
      <c r="E336" s="17"/>
      <c r="F336" s="17"/>
      <c r="G336" s="18"/>
      <c r="H336" s="93"/>
      <c r="I336" s="27">
        <f>I349</f>
        <v>0</v>
      </c>
    </row>
    <row r="337" spans="2:9" x14ac:dyDescent="0.2">
      <c r="B337" s="23" t="s">
        <v>46</v>
      </c>
      <c r="C337" s="21" t="s">
        <v>47</v>
      </c>
      <c r="D337" s="166"/>
      <c r="E337" s="95"/>
      <c r="F337" s="95"/>
      <c r="G337" s="96"/>
      <c r="H337" s="151">
        <f>IF(H349=0,0,"Ep")</f>
        <v>0</v>
      </c>
      <c r="I337" s="150">
        <f>IF(I349=0,0,"Series")</f>
        <v>0</v>
      </c>
    </row>
    <row r="338" spans="2:9" ht="7.5" customHeight="1" x14ac:dyDescent="0.2">
      <c r="B338" s="175"/>
      <c r="C338" s="91"/>
      <c r="D338" s="16"/>
      <c r="E338" s="20"/>
      <c r="F338" s="20"/>
      <c r="G338" s="15"/>
      <c r="H338" s="176"/>
      <c r="I338" s="29">
        <v>0</v>
      </c>
    </row>
    <row r="339" spans="2:9" x14ac:dyDescent="0.2">
      <c r="B339" s="139" t="s">
        <v>622</v>
      </c>
      <c r="C339" s="136" t="str">
        <f>VLOOKUP(LEFT(B339,3),Parameters!E:F,2,0)</f>
        <v>Voice Record Studio</v>
      </c>
      <c r="D339" s="79"/>
      <c r="E339" s="103">
        <v>0</v>
      </c>
      <c r="F339" s="129" t="s">
        <v>98</v>
      </c>
      <c r="G339" s="303">
        <v>0</v>
      </c>
      <c r="H339" s="305">
        <f t="shared" ref="H339:H348" si="35">IF(ISERROR(ROUND(I339/Eps,2)),0,ROUND(I339/Eps,2))</f>
        <v>0</v>
      </c>
      <c r="I339" s="306">
        <f>ROUND(E339*G339,2)</f>
        <v>0</v>
      </c>
    </row>
    <row r="340" spans="2:9" x14ac:dyDescent="0.2">
      <c r="B340" s="139" t="s">
        <v>624</v>
      </c>
      <c r="C340" s="126" t="str">
        <f>VLOOKUP(LEFT(B340,3),Parameters!E:F,2,0)</f>
        <v>Voice Record Expenses</v>
      </c>
      <c r="D340" s="79"/>
      <c r="E340" s="103">
        <v>0</v>
      </c>
      <c r="F340" s="129" t="s">
        <v>98</v>
      </c>
      <c r="G340" s="303">
        <v>0</v>
      </c>
      <c r="H340" s="305">
        <f t="shared" si="35"/>
        <v>0</v>
      </c>
      <c r="I340" s="306">
        <f t="shared" ref="I340:I345" si="36">ROUND(E340*G340,2)</f>
        <v>0</v>
      </c>
    </row>
    <row r="341" spans="2:9" x14ac:dyDescent="0.2">
      <c r="B341" s="139" t="s">
        <v>626</v>
      </c>
      <c r="C341" s="126" t="str">
        <f>VLOOKUP(LEFT(B341,3),Parameters!E:F,2,0)</f>
        <v>Cut Track</v>
      </c>
      <c r="D341" s="79"/>
      <c r="E341" s="103">
        <v>0</v>
      </c>
      <c r="F341" s="129" t="s">
        <v>98</v>
      </c>
      <c r="G341" s="303">
        <v>0</v>
      </c>
      <c r="H341" s="305">
        <f t="shared" si="35"/>
        <v>0</v>
      </c>
      <c r="I341" s="306">
        <f t="shared" si="36"/>
        <v>0</v>
      </c>
    </row>
    <row r="342" spans="2:9" x14ac:dyDescent="0.2">
      <c r="B342" s="139" t="s">
        <v>628</v>
      </c>
      <c r="C342" s="126" t="str">
        <f>VLOOKUP(LEFT(B342,3),Parameters!E:F,2,0)</f>
        <v>Dialogue Assembly</v>
      </c>
      <c r="D342" s="79"/>
      <c r="E342" s="103">
        <v>0</v>
      </c>
      <c r="F342" s="129" t="s">
        <v>98</v>
      </c>
      <c r="G342" s="303">
        <v>0</v>
      </c>
      <c r="H342" s="305">
        <f t="shared" si="35"/>
        <v>0</v>
      </c>
      <c r="I342" s="306">
        <f t="shared" si="36"/>
        <v>0</v>
      </c>
    </row>
    <row r="343" spans="2:9" x14ac:dyDescent="0.2">
      <c r="B343" s="139" t="s">
        <v>630</v>
      </c>
      <c r="C343" s="126" t="str">
        <f>VLOOKUP(LEFT(B343,3),Parameters!E:F,2,0)</f>
        <v>Dialogue Fine Cut</v>
      </c>
      <c r="D343" s="79"/>
      <c r="E343" s="103">
        <v>0</v>
      </c>
      <c r="F343" s="129" t="s">
        <v>98</v>
      </c>
      <c r="G343" s="303">
        <v>0</v>
      </c>
      <c r="H343" s="305">
        <f t="shared" si="35"/>
        <v>0</v>
      </c>
      <c r="I343" s="306">
        <f t="shared" si="36"/>
        <v>0</v>
      </c>
    </row>
    <row r="344" spans="2:9" x14ac:dyDescent="0.2">
      <c r="B344" s="139" t="s">
        <v>632</v>
      </c>
      <c r="C344" s="126" t="str">
        <f>VLOOKUP(LEFT(B344,3),Parameters!E:F,2,0)</f>
        <v>Barsheets</v>
      </c>
      <c r="D344" s="79"/>
      <c r="E344" s="103">
        <v>0</v>
      </c>
      <c r="F344" s="129" t="s">
        <v>98</v>
      </c>
      <c r="G344" s="303">
        <v>0</v>
      </c>
      <c r="H344" s="305">
        <f t="shared" si="35"/>
        <v>0</v>
      </c>
      <c r="I344" s="306">
        <f t="shared" si="36"/>
        <v>0</v>
      </c>
    </row>
    <row r="345" spans="2:9" x14ac:dyDescent="0.2">
      <c r="B345" s="139" t="s">
        <v>634</v>
      </c>
      <c r="C345" s="126" t="str">
        <f>VLOOKUP(LEFT(B345,3),Parameters!E:F,2,0)</f>
        <v>Animatics</v>
      </c>
      <c r="D345" s="79"/>
      <c r="E345" s="103">
        <v>0</v>
      </c>
      <c r="F345" s="129" t="s">
        <v>98</v>
      </c>
      <c r="G345" s="303">
        <v>0</v>
      </c>
      <c r="H345" s="305">
        <f t="shared" si="35"/>
        <v>0</v>
      </c>
      <c r="I345" s="306">
        <f t="shared" si="36"/>
        <v>0</v>
      </c>
    </row>
    <row r="346" spans="2:9" x14ac:dyDescent="0.2">
      <c r="B346" s="139" t="s">
        <v>636</v>
      </c>
      <c r="C346" s="126" t="str">
        <f>VLOOKUP(LEFT(B346,3),Parameters!E:F,2,0)</f>
        <v>X-Sheets</v>
      </c>
      <c r="D346" s="79"/>
      <c r="E346" s="103">
        <v>0</v>
      </c>
      <c r="F346" s="129" t="s">
        <v>98</v>
      </c>
      <c r="G346" s="303">
        <v>0</v>
      </c>
      <c r="H346" s="305">
        <f t="shared" si="35"/>
        <v>0</v>
      </c>
      <c r="I346" s="306">
        <f>ROUND(E346*G346,2)</f>
        <v>0</v>
      </c>
    </row>
    <row r="347" spans="2:9" x14ac:dyDescent="0.2">
      <c r="B347" s="139" t="s">
        <v>638</v>
      </c>
      <c r="C347" s="126" t="str">
        <f>VLOOKUP(LEFT(B347,3),Parameters!E:F,2,0)</f>
        <v>Layouts</v>
      </c>
      <c r="D347" s="79"/>
      <c r="E347" s="103">
        <v>0</v>
      </c>
      <c r="F347" s="129" t="s">
        <v>98</v>
      </c>
      <c r="G347" s="303">
        <v>0</v>
      </c>
      <c r="H347" s="305">
        <f t="shared" si="35"/>
        <v>0</v>
      </c>
      <c r="I347" s="306">
        <f>ROUND(E347*G347,2)</f>
        <v>0</v>
      </c>
    </row>
    <row r="348" spans="2:9" x14ac:dyDescent="0.2">
      <c r="B348" s="139" t="s">
        <v>640</v>
      </c>
      <c r="C348" s="126" t="str">
        <f>VLOOKUP(LEFT(B348,3),Parameters!E:F,2,0)</f>
        <v>Slugging</v>
      </c>
      <c r="D348" s="79"/>
      <c r="E348" s="103">
        <v>0</v>
      </c>
      <c r="F348" s="129" t="s">
        <v>98</v>
      </c>
      <c r="G348" s="303">
        <v>0</v>
      </c>
      <c r="H348" s="305">
        <f t="shared" si="35"/>
        <v>0</v>
      </c>
      <c r="I348" s="306">
        <f>ROUND(E348*G348,2)</f>
        <v>0</v>
      </c>
    </row>
    <row r="349" spans="2:9" x14ac:dyDescent="0.2">
      <c r="B349" s="14" t="str">
        <f>B337&amp;D349</f>
        <v>21Sub-Total</v>
      </c>
      <c r="C349" s="15"/>
      <c r="D349" s="336" t="s">
        <v>907</v>
      </c>
      <c r="E349" s="337"/>
      <c r="F349" s="16"/>
      <c r="G349" s="15"/>
      <c r="H349" s="309">
        <f>SUM(H338:H348)</f>
        <v>0</v>
      </c>
      <c r="I349" s="310">
        <f>SUM(I338:I348)</f>
        <v>0</v>
      </c>
    </row>
    <row r="350" spans="2:9" ht="7.5" customHeight="1" x14ac:dyDescent="0.2">
      <c r="B350" s="2"/>
      <c r="C350" s="4"/>
      <c r="D350" s="4"/>
      <c r="E350" s="4"/>
      <c r="F350" s="4"/>
      <c r="G350" s="4"/>
      <c r="H350" s="5"/>
      <c r="I350" s="28">
        <f>I349</f>
        <v>0</v>
      </c>
    </row>
    <row r="351" spans="2:9" x14ac:dyDescent="0.2">
      <c r="B351" s="22"/>
      <c r="C351" s="8"/>
      <c r="D351" s="167"/>
      <c r="E351" s="17"/>
      <c r="F351" s="17"/>
      <c r="G351" s="18"/>
      <c r="H351" s="93"/>
      <c r="I351" s="27">
        <f>I379</f>
        <v>0</v>
      </c>
    </row>
    <row r="352" spans="2:9" x14ac:dyDescent="0.2">
      <c r="B352" s="23" t="s">
        <v>48</v>
      </c>
      <c r="C352" s="21" t="s">
        <v>49</v>
      </c>
      <c r="D352" s="166"/>
      <c r="E352" s="95"/>
      <c r="F352" s="95"/>
      <c r="G352" s="96"/>
      <c r="H352" s="151">
        <f>IF(H379=0,0,"Ep")</f>
        <v>0</v>
      </c>
      <c r="I352" s="150">
        <f>IF(I379=0,0,"Series")</f>
        <v>0</v>
      </c>
    </row>
    <row r="353" spans="2:9" ht="7.5" customHeight="1" x14ac:dyDescent="0.2">
      <c r="B353" s="175"/>
      <c r="C353" s="91"/>
      <c r="D353" s="16"/>
      <c r="E353" s="20"/>
      <c r="F353" s="20"/>
      <c r="G353" s="15"/>
      <c r="H353" s="176"/>
      <c r="I353" s="29">
        <v>0</v>
      </c>
    </row>
    <row r="354" spans="2:9" x14ac:dyDescent="0.2">
      <c r="B354" s="139" t="s">
        <v>642</v>
      </c>
      <c r="C354" s="136" t="str">
        <f>VLOOKUP(LEFT(B354,3),Parameters!E:F,2,0)</f>
        <v>Logging / Digitising</v>
      </c>
      <c r="D354" s="79"/>
      <c r="E354" s="103">
        <v>0</v>
      </c>
      <c r="F354" s="129" t="s">
        <v>98</v>
      </c>
      <c r="G354" s="303">
        <v>0</v>
      </c>
      <c r="H354" s="305">
        <f t="shared" ref="H354:H378" si="37">IF(ISERROR(ROUND(I354/Eps,2)),0,ROUND(I354/Eps,2))</f>
        <v>0</v>
      </c>
      <c r="I354" s="306">
        <f>ROUND(E354*G354,2)</f>
        <v>0</v>
      </c>
    </row>
    <row r="355" spans="2:9" x14ac:dyDescent="0.2">
      <c r="B355" s="139" t="s">
        <v>644</v>
      </c>
      <c r="C355" s="126" t="str">
        <f>VLOOKUP(LEFT(B355,3),Parameters!E:F,2,0)</f>
        <v>Neg Processing / Transfer / Sync</v>
      </c>
      <c r="D355" s="79"/>
      <c r="E355" s="103">
        <v>0</v>
      </c>
      <c r="F355" s="129" t="s">
        <v>98</v>
      </c>
      <c r="G355" s="303">
        <v>0</v>
      </c>
      <c r="H355" s="305">
        <f t="shared" si="37"/>
        <v>0</v>
      </c>
      <c r="I355" s="306">
        <f t="shared" ref="I355:I361" si="38">ROUND(E355*G355,2)</f>
        <v>0</v>
      </c>
    </row>
    <row r="356" spans="2:9" x14ac:dyDescent="0.2">
      <c r="B356" s="139" t="s">
        <v>650</v>
      </c>
      <c r="C356" s="126" t="str">
        <f>VLOOKUP(LEFT(B356,3),Parameters!E:F,2,0)</f>
        <v>Avid / Lightworks Offline</v>
      </c>
      <c r="D356" s="79"/>
      <c r="E356" s="103">
        <v>0</v>
      </c>
      <c r="F356" s="129" t="s">
        <v>98</v>
      </c>
      <c r="G356" s="303">
        <v>0</v>
      </c>
      <c r="H356" s="305">
        <f t="shared" si="37"/>
        <v>0</v>
      </c>
      <c r="I356" s="306">
        <f t="shared" si="38"/>
        <v>0</v>
      </c>
    </row>
    <row r="357" spans="2:9" x14ac:dyDescent="0.2">
      <c r="B357" s="139" t="s">
        <v>654</v>
      </c>
      <c r="C357" s="126" t="str">
        <f>VLOOKUP(LEFT(B357,3),Parameters!E:F,2,0)</f>
        <v>Conform / Online</v>
      </c>
      <c r="D357" s="79"/>
      <c r="E357" s="103">
        <v>0</v>
      </c>
      <c r="F357" s="129" t="s">
        <v>98</v>
      </c>
      <c r="G357" s="303">
        <v>0</v>
      </c>
      <c r="H357" s="305">
        <f t="shared" si="37"/>
        <v>0</v>
      </c>
      <c r="I357" s="306">
        <f t="shared" si="38"/>
        <v>0</v>
      </c>
    </row>
    <row r="358" spans="2:9" x14ac:dyDescent="0.2">
      <c r="B358" s="139" t="s">
        <v>660</v>
      </c>
      <c r="C358" s="126" t="str">
        <f>VLOOKUP(LEFT(B358,3),Parameters!E:F,2,0)</f>
        <v>Grade / Telecine</v>
      </c>
      <c r="D358" s="79"/>
      <c r="E358" s="103">
        <v>0</v>
      </c>
      <c r="F358" s="129" t="s">
        <v>98</v>
      </c>
      <c r="G358" s="303">
        <v>0</v>
      </c>
      <c r="H358" s="305">
        <f t="shared" si="37"/>
        <v>0</v>
      </c>
      <c r="I358" s="306">
        <f t="shared" si="38"/>
        <v>0</v>
      </c>
    </row>
    <row r="359" spans="2:9" x14ac:dyDescent="0.2">
      <c r="B359" s="139" t="s">
        <v>652</v>
      </c>
      <c r="C359" s="126" t="str">
        <f>VLOOKUP(LEFT(B359,3),Parameters!E:F,2,0)</f>
        <v>Memory</v>
      </c>
      <c r="D359" s="79"/>
      <c r="E359" s="103">
        <v>0</v>
      </c>
      <c r="F359" s="129" t="s">
        <v>98</v>
      </c>
      <c r="G359" s="303">
        <v>0</v>
      </c>
      <c r="H359" s="305">
        <f t="shared" si="37"/>
        <v>0</v>
      </c>
      <c r="I359" s="306">
        <f t="shared" si="38"/>
        <v>0</v>
      </c>
    </row>
    <row r="360" spans="2:9" x14ac:dyDescent="0.2">
      <c r="B360" s="139" t="s">
        <v>646</v>
      </c>
      <c r="C360" s="126" t="str">
        <f>VLOOKUP(LEFT(B360,3),Parameters!E:F,2,0)</f>
        <v>Avid / Lightworks Online</v>
      </c>
      <c r="D360" s="79"/>
      <c r="E360" s="103">
        <v>0</v>
      </c>
      <c r="F360" s="129" t="s">
        <v>98</v>
      </c>
      <c r="G360" s="303">
        <v>0</v>
      </c>
      <c r="H360" s="305">
        <f t="shared" si="37"/>
        <v>0</v>
      </c>
      <c r="I360" s="306">
        <f t="shared" si="38"/>
        <v>0</v>
      </c>
    </row>
    <row r="361" spans="2:9" x14ac:dyDescent="0.2">
      <c r="B361" s="139" t="s">
        <v>648</v>
      </c>
      <c r="C361" s="126" t="str">
        <f>VLOOKUP(LEFT(B361,3),Parameters!E:F,2,0)</f>
        <v>Linear Online</v>
      </c>
      <c r="D361" s="79"/>
      <c r="E361" s="103">
        <v>0</v>
      </c>
      <c r="F361" s="129" t="s">
        <v>98</v>
      </c>
      <c r="G361" s="303">
        <v>0</v>
      </c>
      <c r="H361" s="305">
        <f t="shared" si="37"/>
        <v>0</v>
      </c>
      <c r="I361" s="306">
        <f t="shared" si="38"/>
        <v>0</v>
      </c>
    </row>
    <row r="362" spans="2:9" x14ac:dyDescent="0.2">
      <c r="B362" s="139" t="s">
        <v>656</v>
      </c>
      <c r="C362" s="126" t="str">
        <f>VLOOKUP(LEFT(B362,3),Parameters!E:F,2,0)</f>
        <v>Negative Cutting</v>
      </c>
      <c r="D362" s="79"/>
      <c r="E362" s="103">
        <v>0</v>
      </c>
      <c r="F362" s="129" t="s">
        <v>98</v>
      </c>
      <c r="G362" s="303">
        <v>0</v>
      </c>
      <c r="H362" s="305">
        <f t="shared" si="37"/>
        <v>0</v>
      </c>
      <c r="I362" s="306">
        <f t="shared" ref="I362:I370" si="39">ROUND(E362*G362,2)</f>
        <v>0</v>
      </c>
    </row>
    <row r="363" spans="2:9" x14ac:dyDescent="0.2">
      <c r="B363" s="139" t="s">
        <v>658</v>
      </c>
      <c r="C363" s="126" t="str">
        <f>VLOOKUP(LEFT(B363,3),Parameters!E:F,2,0)</f>
        <v>Sound Conform / Tracklay</v>
      </c>
      <c r="D363" s="79"/>
      <c r="E363" s="103">
        <v>0</v>
      </c>
      <c r="F363" s="129" t="s">
        <v>98</v>
      </c>
      <c r="G363" s="303">
        <v>0</v>
      </c>
      <c r="H363" s="305">
        <f t="shared" si="37"/>
        <v>0</v>
      </c>
      <c r="I363" s="306">
        <f t="shared" si="39"/>
        <v>0</v>
      </c>
    </row>
    <row r="364" spans="2:9" x14ac:dyDescent="0.2">
      <c r="B364" s="139" t="s">
        <v>662</v>
      </c>
      <c r="C364" s="126" t="str">
        <f>VLOOKUP(LEFT(B364,3),Parameters!E:F,2,0)</f>
        <v>Dub / Mix</v>
      </c>
      <c r="D364" s="79"/>
      <c r="E364" s="103">
        <v>0</v>
      </c>
      <c r="F364" s="129" t="s">
        <v>98</v>
      </c>
      <c r="G364" s="303">
        <v>0</v>
      </c>
      <c r="H364" s="305">
        <f t="shared" si="37"/>
        <v>0</v>
      </c>
      <c r="I364" s="306">
        <f t="shared" si="39"/>
        <v>0</v>
      </c>
    </row>
    <row r="365" spans="2:9" x14ac:dyDescent="0.2">
      <c r="B365" s="139" t="s">
        <v>664</v>
      </c>
      <c r="C365" s="126" t="str">
        <f>VLOOKUP(LEFT(B365,3),Parameters!E:F,2,0)</f>
        <v>Voice-Over / ADR</v>
      </c>
      <c r="D365" s="79"/>
      <c r="E365" s="103">
        <v>0</v>
      </c>
      <c r="F365" s="129" t="s">
        <v>98</v>
      </c>
      <c r="G365" s="303">
        <v>0</v>
      </c>
      <c r="H365" s="305">
        <f t="shared" si="37"/>
        <v>0</v>
      </c>
      <c r="I365" s="306">
        <f t="shared" si="39"/>
        <v>0</v>
      </c>
    </row>
    <row r="366" spans="2:9" x14ac:dyDescent="0.2">
      <c r="B366" s="139" t="s">
        <v>666</v>
      </c>
      <c r="C366" s="126" t="str">
        <f>VLOOKUP(LEFT(B366,3),Parameters!E:F,2,0)</f>
        <v>Lay Back</v>
      </c>
      <c r="D366" s="79"/>
      <c r="E366" s="103">
        <v>0</v>
      </c>
      <c r="F366" s="129" t="s">
        <v>98</v>
      </c>
      <c r="G366" s="303">
        <v>0</v>
      </c>
      <c r="H366" s="305">
        <f t="shared" si="37"/>
        <v>0</v>
      </c>
      <c r="I366" s="306">
        <f t="shared" si="39"/>
        <v>0</v>
      </c>
    </row>
    <row r="367" spans="2:9" x14ac:dyDescent="0.2">
      <c r="B367" s="139" t="s">
        <v>668</v>
      </c>
      <c r="C367" s="126" t="str">
        <f>VLOOKUP(LEFT(B367,3),Parameters!E:F,2,0)</f>
        <v>Standards Conversion</v>
      </c>
      <c r="D367" s="79"/>
      <c r="E367" s="103">
        <v>0</v>
      </c>
      <c r="F367" s="129" t="s">
        <v>98</v>
      </c>
      <c r="G367" s="303">
        <v>0</v>
      </c>
      <c r="H367" s="305">
        <f t="shared" si="37"/>
        <v>0</v>
      </c>
      <c r="I367" s="306">
        <f t="shared" si="39"/>
        <v>0</v>
      </c>
    </row>
    <row r="368" spans="2:9" x14ac:dyDescent="0.2">
      <c r="B368" s="139" t="s">
        <v>670</v>
      </c>
      <c r="C368" s="126" t="str">
        <f>VLOOKUP(LEFT(B368,3),Parameters!E:F,2,0)</f>
        <v>Final Assembly</v>
      </c>
      <c r="D368" s="79"/>
      <c r="E368" s="103">
        <v>0</v>
      </c>
      <c r="F368" s="129" t="s">
        <v>98</v>
      </c>
      <c r="G368" s="303">
        <v>0</v>
      </c>
      <c r="H368" s="305">
        <f t="shared" si="37"/>
        <v>0</v>
      </c>
      <c r="I368" s="306">
        <f t="shared" si="39"/>
        <v>0</v>
      </c>
    </row>
    <row r="369" spans="2:9" x14ac:dyDescent="0.2">
      <c r="B369" s="139" t="s">
        <v>672</v>
      </c>
      <c r="C369" s="126" t="str">
        <f>VLOOKUP(LEFT(B369,3),Parameters!E:F,2,0)</f>
        <v>Rostrum</v>
      </c>
      <c r="D369" s="79"/>
      <c r="E369" s="103">
        <v>0</v>
      </c>
      <c r="F369" s="129" t="s">
        <v>98</v>
      </c>
      <c r="G369" s="303">
        <v>0</v>
      </c>
      <c r="H369" s="305">
        <f t="shared" si="37"/>
        <v>0</v>
      </c>
      <c r="I369" s="306">
        <f t="shared" si="39"/>
        <v>0</v>
      </c>
    </row>
    <row r="370" spans="2:9" x14ac:dyDescent="0.2">
      <c r="B370" s="139" t="s">
        <v>674</v>
      </c>
      <c r="C370" s="126" t="str">
        <f>VLOOKUP(LEFT(B370,3),Parameters!E:F,2,0)</f>
        <v>Post Production Special Effects</v>
      </c>
      <c r="D370" s="79"/>
      <c r="E370" s="103">
        <v>0</v>
      </c>
      <c r="F370" s="129" t="s">
        <v>98</v>
      </c>
      <c r="G370" s="303">
        <v>0</v>
      </c>
      <c r="H370" s="305">
        <f t="shared" si="37"/>
        <v>0</v>
      </c>
      <c r="I370" s="306">
        <f t="shared" si="39"/>
        <v>0</v>
      </c>
    </row>
    <row r="371" spans="2:9" x14ac:dyDescent="0.2">
      <c r="B371" s="139" t="s">
        <v>676</v>
      </c>
      <c r="C371" s="126" t="str">
        <f>VLOOKUP(LEFT(B371,3),Parameters!E:F,2,0)</f>
        <v>Post Production Packages</v>
      </c>
      <c r="D371" s="79"/>
      <c r="E371" s="103">
        <v>0</v>
      </c>
      <c r="F371" s="129" t="s">
        <v>98</v>
      </c>
      <c r="G371" s="303">
        <v>0</v>
      </c>
      <c r="H371" s="305">
        <f t="shared" si="37"/>
        <v>0</v>
      </c>
      <c r="I371" s="306">
        <f>ROUND(E371*G371,2)</f>
        <v>0</v>
      </c>
    </row>
    <row r="372" spans="2:9" x14ac:dyDescent="0.2">
      <c r="B372" s="139" t="s">
        <v>678</v>
      </c>
      <c r="C372" s="126" t="str">
        <f>VLOOKUP(LEFT(B372,3),Parameters!E:F,2,0)</f>
        <v>Post Production Tapes</v>
      </c>
      <c r="D372" s="79"/>
      <c r="E372" s="103">
        <v>0</v>
      </c>
      <c r="F372" s="129" t="s">
        <v>98</v>
      </c>
      <c r="G372" s="303">
        <v>0</v>
      </c>
      <c r="H372" s="305">
        <f t="shared" si="37"/>
        <v>0</v>
      </c>
      <c r="I372" s="306">
        <f t="shared" ref="I372:I378" si="40">ROUND(E372*G372,2)</f>
        <v>0</v>
      </c>
    </row>
    <row r="373" spans="2:9" x14ac:dyDescent="0.2">
      <c r="B373" s="139" t="s">
        <v>680</v>
      </c>
      <c r="C373" s="126" t="str">
        <f>VLOOKUP(LEFT(B373,3),Parameters!E:F,2,0)</f>
        <v>Transfers</v>
      </c>
      <c r="D373" s="79"/>
      <c r="E373" s="103">
        <v>0</v>
      </c>
      <c r="F373" s="129" t="s">
        <v>98</v>
      </c>
      <c r="G373" s="303">
        <v>0</v>
      </c>
      <c r="H373" s="305">
        <f t="shared" si="37"/>
        <v>0</v>
      </c>
      <c r="I373" s="306">
        <f t="shared" si="40"/>
        <v>0</v>
      </c>
    </row>
    <row r="374" spans="2:9" x14ac:dyDescent="0.2">
      <c r="B374" s="139" t="s">
        <v>682</v>
      </c>
      <c r="C374" s="126" t="str">
        <f>VLOOKUP(LEFT(B374,3),Parameters!E:F,2,0)</f>
        <v>Media Management</v>
      </c>
      <c r="D374" s="79"/>
      <c r="E374" s="103">
        <v>0</v>
      </c>
      <c r="F374" s="129" t="s">
        <v>98</v>
      </c>
      <c r="G374" s="303">
        <v>0</v>
      </c>
      <c r="H374" s="305">
        <f t="shared" si="37"/>
        <v>0</v>
      </c>
      <c r="I374" s="306">
        <f t="shared" si="40"/>
        <v>0</v>
      </c>
    </row>
    <row r="375" spans="2:9" x14ac:dyDescent="0.2">
      <c r="B375" s="139" t="s">
        <v>684</v>
      </c>
      <c r="C375" s="126" t="str">
        <f>VLOOKUP(LEFT(B375,3),Parameters!E:F,2,0)</f>
        <v>Technical Check</v>
      </c>
      <c r="D375" s="79"/>
      <c r="E375" s="103">
        <v>0</v>
      </c>
      <c r="F375" s="129" t="s">
        <v>98</v>
      </c>
      <c r="G375" s="303">
        <v>0</v>
      </c>
      <c r="H375" s="305">
        <f t="shared" si="37"/>
        <v>0</v>
      </c>
      <c r="I375" s="306">
        <f t="shared" si="40"/>
        <v>0</v>
      </c>
    </row>
    <row r="376" spans="2:9" x14ac:dyDescent="0.2">
      <c r="B376" s="139" t="s">
        <v>686</v>
      </c>
      <c r="C376" s="126" t="str">
        <f>VLOOKUP(LEFT(B376,3),Parameters!E:F,2,0)</f>
        <v>HD Facilities</v>
      </c>
      <c r="D376" s="79"/>
      <c r="E376" s="103">
        <v>0</v>
      </c>
      <c r="F376" s="129" t="s">
        <v>98</v>
      </c>
      <c r="G376" s="303">
        <v>0</v>
      </c>
      <c r="H376" s="305">
        <f t="shared" si="37"/>
        <v>0</v>
      </c>
      <c r="I376" s="306">
        <f t="shared" si="40"/>
        <v>0</v>
      </c>
    </row>
    <row r="377" spans="2:9" x14ac:dyDescent="0.2">
      <c r="B377" s="139" t="s">
        <v>688</v>
      </c>
      <c r="C377" s="126" t="str">
        <f>VLOOKUP(LEFT(B377,3),Parameters!E:F,2,0)</f>
        <v>Desk Top Editing</v>
      </c>
      <c r="D377" s="79"/>
      <c r="E377" s="103">
        <v>0</v>
      </c>
      <c r="F377" s="129" t="s">
        <v>98</v>
      </c>
      <c r="G377" s="303">
        <v>0</v>
      </c>
      <c r="H377" s="305">
        <f t="shared" si="37"/>
        <v>0</v>
      </c>
      <c r="I377" s="306">
        <f t="shared" si="40"/>
        <v>0</v>
      </c>
    </row>
    <row r="378" spans="2:9" x14ac:dyDescent="0.2">
      <c r="B378" s="139" t="s">
        <v>690</v>
      </c>
      <c r="C378" s="126" t="str">
        <f>VLOOKUP(LEFT(B378,3),Parameters!E:F,2,0)</f>
        <v>International Version</v>
      </c>
      <c r="D378" s="79"/>
      <c r="E378" s="103"/>
      <c r="F378" s="129" t="s">
        <v>98</v>
      </c>
      <c r="G378" s="303"/>
      <c r="H378" s="305">
        <f t="shared" si="37"/>
        <v>0</v>
      </c>
      <c r="I378" s="306">
        <f t="shared" si="40"/>
        <v>0</v>
      </c>
    </row>
    <row r="379" spans="2:9" x14ac:dyDescent="0.2">
      <c r="B379" s="14" t="str">
        <f>B352&amp;D379</f>
        <v>22Sub-Total</v>
      </c>
      <c r="C379" s="15"/>
      <c r="D379" s="336" t="s">
        <v>907</v>
      </c>
      <c r="E379" s="337"/>
      <c r="F379" s="16"/>
      <c r="G379" s="15"/>
      <c r="H379" s="309">
        <f>SUM(H353:H378)</f>
        <v>0</v>
      </c>
      <c r="I379" s="310">
        <f>SUM(I353:I378)</f>
        <v>0</v>
      </c>
    </row>
    <row r="380" spans="2:9" ht="7.5" customHeight="1" x14ac:dyDescent="0.2">
      <c r="B380" s="2"/>
      <c r="C380" s="4"/>
      <c r="D380" s="4"/>
      <c r="E380" s="4"/>
      <c r="F380" s="4"/>
      <c r="G380" s="4"/>
      <c r="H380" s="5"/>
      <c r="I380" s="28">
        <f>I379</f>
        <v>0</v>
      </c>
    </row>
    <row r="381" spans="2:9" x14ac:dyDescent="0.2">
      <c r="B381" s="22"/>
      <c r="C381" s="8"/>
      <c r="D381" s="167"/>
      <c r="E381" s="17"/>
      <c r="F381" s="17"/>
      <c r="G381" s="18"/>
      <c r="H381" s="93"/>
      <c r="I381" s="27">
        <f>I390</f>
        <v>0</v>
      </c>
    </row>
    <row r="382" spans="2:9" x14ac:dyDescent="0.2">
      <c r="B382" s="23" t="s">
        <v>50</v>
      </c>
      <c r="C382" s="21" t="s">
        <v>945</v>
      </c>
      <c r="D382" s="166"/>
      <c r="E382" s="95"/>
      <c r="F382" s="95"/>
      <c r="G382" s="96"/>
      <c r="H382" s="151">
        <f>IF(H390=0,0,"Ep")</f>
        <v>0</v>
      </c>
      <c r="I382" s="150">
        <f>IF(I390=0,0,"Series")</f>
        <v>0</v>
      </c>
    </row>
    <row r="383" spans="2:9" ht="7.5" customHeight="1" x14ac:dyDescent="0.2">
      <c r="B383" s="175"/>
      <c r="C383" s="91"/>
      <c r="D383" s="16"/>
      <c r="E383" s="20"/>
      <c r="F383" s="20"/>
      <c r="G383" s="15"/>
      <c r="H383" s="176"/>
      <c r="I383" s="29">
        <v>0</v>
      </c>
    </row>
    <row r="384" spans="2:9" x14ac:dyDescent="0.2">
      <c r="B384" s="139" t="s">
        <v>692</v>
      </c>
      <c r="C384" s="136" t="str">
        <f>VLOOKUP(LEFT(B384,3),Parameters!E:F,2,0)</f>
        <v>Archive Royalties</v>
      </c>
      <c r="D384" s="79"/>
      <c r="E384" s="103">
        <v>0</v>
      </c>
      <c r="F384" s="129" t="s">
        <v>98</v>
      </c>
      <c r="G384" s="303">
        <v>0</v>
      </c>
      <c r="H384" s="305">
        <f t="shared" ref="H384:H389" si="41">IF(ISERROR(ROUND(I384/Eps,2)),0,ROUND(I384/Eps,2))</f>
        <v>0</v>
      </c>
      <c r="I384" s="306">
        <f t="shared" ref="I384:I389" si="42">ROUND(E384*G384,2)</f>
        <v>0</v>
      </c>
    </row>
    <row r="385" spans="2:9" x14ac:dyDescent="0.2">
      <c r="B385" s="139" t="s">
        <v>694</v>
      </c>
      <c r="C385" s="126" t="str">
        <f>VLOOKUP(LEFT(B385,3),Parameters!E:F,2,0)</f>
        <v>Archive / Stills Processing</v>
      </c>
      <c r="D385" s="79"/>
      <c r="E385" s="103">
        <v>0</v>
      </c>
      <c r="F385" s="129" t="s">
        <v>98</v>
      </c>
      <c r="G385" s="303">
        <v>0</v>
      </c>
      <c r="H385" s="305">
        <f t="shared" si="41"/>
        <v>0</v>
      </c>
      <c r="I385" s="306">
        <f t="shared" si="42"/>
        <v>0</v>
      </c>
    </row>
    <row r="386" spans="2:9" x14ac:dyDescent="0.2">
      <c r="B386" s="139" t="s">
        <v>696</v>
      </c>
      <c r="C386" s="126" t="str">
        <f>VLOOKUP(LEFT(B386,3),Parameters!E:F,2,0)</f>
        <v>Stills Royalties</v>
      </c>
      <c r="D386" s="79"/>
      <c r="E386" s="103">
        <v>0</v>
      </c>
      <c r="F386" s="129" t="s">
        <v>98</v>
      </c>
      <c r="G386" s="303">
        <v>0</v>
      </c>
      <c r="H386" s="305">
        <f t="shared" si="41"/>
        <v>0</v>
      </c>
      <c r="I386" s="306">
        <f t="shared" si="42"/>
        <v>0</v>
      </c>
    </row>
    <row r="387" spans="2:9" x14ac:dyDescent="0.2">
      <c r="B387" s="139" t="s">
        <v>698</v>
      </c>
      <c r="C387" s="126" t="str">
        <f>VLOOKUP(LEFT(B387,3),Parameters!E:F,2,0)</f>
        <v>Library Facilities</v>
      </c>
      <c r="D387" s="79"/>
      <c r="E387" s="103">
        <v>0</v>
      </c>
      <c r="F387" s="129" t="s">
        <v>98</v>
      </c>
      <c r="G387" s="303">
        <v>0</v>
      </c>
      <c r="H387" s="305">
        <f t="shared" si="41"/>
        <v>0</v>
      </c>
      <c r="I387" s="306">
        <f t="shared" si="42"/>
        <v>0</v>
      </c>
    </row>
    <row r="388" spans="2:9" x14ac:dyDescent="0.2">
      <c r="B388" s="139" t="s">
        <v>700</v>
      </c>
      <c r="C388" s="126" t="str">
        <f>VLOOKUP(LEFT(B388,3),Parameters!E:F,2,0)</f>
        <v>Research Materials</v>
      </c>
      <c r="D388" s="79"/>
      <c r="E388" s="103">
        <v>0</v>
      </c>
      <c r="F388" s="129" t="s">
        <v>98</v>
      </c>
      <c r="G388" s="303">
        <v>0</v>
      </c>
      <c r="H388" s="305">
        <f t="shared" si="41"/>
        <v>0</v>
      </c>
      <c r="I388" s="306">
        <f t="shared" si="42"/>
        <v>0</v>
      </c>
    </row>
    <row r="389" spans="2:9" x14ac:dyDescent="0.2">
      <c r="B389" s="139" t="s">
        <v>702</v>
      </c>
      <c r="C389" s="126" t="str">
        <f>VLOOKUP(LEFT(B389,3),Parameters!E:F,2,0)</f>
        <v>Finders Fees</v>
      </c>
      <c r="D389" s="79"/>
      <c r="E389" s="103">
        <v>0</v>
      </c>
      <c r="F389" s="129" t="s">
        <v>98</v>
      </c>
      <c r="G389" s="303">
        <v>0</v>
      </c>
      <c r="H389" s="305">
        <f t="shared" si="41"/>
        <v>0</v>
      </c>
      <c r="I389" s="306">
        <f t="shared" si="42"/>
        <v>0</v>
      </c>
    </row>
    <row r="390" spans="2:9" x14ac:dyDescent="0.2">
      <c r="B390" s="14" t="str">
        <f>B382&amp;D390</f>
        <v>23Sub-Total</v>
      </c>
      <c r="C390" s="15"/>
      <c r="D390" s="336" t="s">
        <v>907</v>
      </c>
      <c r="E390" s="337"/>
      <c r="F390" s="16"/>
      <c r="G390" s="15"/>
      <c r="H390" s="309">
        <f>SUM(H383:H389)</f>
        <v>0</v>
      </c>
      <c r="I390" s="310">
        <f>SUM(I383:I389)</f>
        <v>0</v>
      </c>
    </row>
    <row r="391" spans="2:9" ht="7.5" customHeight="1" x14ac:dyDescent="0.2">
      <c r="B391" s="2"/>
      <c r="C391" s="4"/>
      <c r="D391" s="4"/>
      <c r="E391" s="4"/>
      <c r="F391" s="4"/>
      <c r="G391" s="4"/>
      <c r="H391" s="5"/>
      <c r="I391" s="28">
        <f>I390</f>
        <v>0</v>
      </c>
    </row>
    <row r="392" spans="2:9" x14ac:dyDescent="0.2">
      <c r="B392" s="22"/>
      <c r="C392" s="8"/>
      <c r="D392" s="167"/>
      <c r="E392" s="17"/>
      <c r="F392" s="17"/>
      <c r="G392" s="18"/>
      <c r="H392" s="93"/>
      <c r="I392" s="27">
        <f>I402</f>
        <v>0</v>
      </c>
    </row>
    <row r="393" spans="2:9" x14ac:dyDescent="0.2">
      <c r="B393" s="23" t="s">
        <v>52</v>
      </c>
      <c r="C393" s="21" t="s">
        <v>53</v>
      </c>
      <c r="D393" s="166"/>
      <c r="E393" s="95"/>
      <c r="F393" s="95"/>
      <c r="G393" s="96"/>
      <c r="H393" s="151">
        <f>IF(H402=0,0,"Ep")</f>
        <v>0</v>
      </c>
      <c r="I393" s="150">
        <f>IF(I402=0,0,"Series")</f>
        <v>0</v>
      </c>
    </row>
    <row r="394" spans="2:9" ht="7.5" customHeight="1" x14ac:dyDescent="0.2">
      <c r="B394" s="175"/>
      <c r="C394" s="91"/>
      <c r="D394" s="16"/>
      <c r="E394" s="20"/>
      <c r="F394" s="20"/>
      <c r="G394" s="15"/>
      <c r="H394" s="176"/>
      <c r="I394" s="29">
        <v>0</v>
      </c>
    </row>
    <row r="395" spans="2:9" x14ac:dyDescent="0.2">
      <c r="B395" s="139" t="s">
        <v>704</v>
      </c>
      <c r="C395" s="136" t="str">
        <f>VLOOKUP(LEFT(B395,3),Parameters!E:F,2,0)</f>
        <v>Graphics - In Programme</v>
      </c>
      <c r="D395" s="79"/>
      <c r="E395" s="103"/>
      <c r="F395" s="129" t="s">
        <v>98</v>
      </c>
      <c r="G395" s="303"/>
      <c r="H395" s="305">
        <f t="shared" ref="H395:H401" si="43">IF(ISERROR(ROUND(I395/Eps,2)),0,ROUND(I395/Eps,2))</f>
        <v>0</v>
      </c>
      <c r="I395" s="306">
        <f t="shared" ref="I395:I401" si="44">ROUND(E395*G395,2)</f>
        <v>0</v>
      </c>
    </row>
    <row r="396" spans="2:9" x14ac:dyDescent="0.2">
      <c r="B396" s="139" t="s">
        <v>706</v>
      </c>
      <c r="C396" s="126" t="str">
        <f>VLOOKUP(LEFT(B396,3),Parameters!E:F,2,0)</f>
        <v>Titles</v>
      </c>
      <c r="D396" s="79"/>
      <c r="E396" s="103">
        <v>0</v>
      </c>
      <c r="F396" s="129" t="s">
        <v>98</v>
      </c>
      <c r="G396" s="303">
        <v>0</v>
      </c>
      <c r="H396" s="305">
        <f t="shared" si="43"/>
        <v>0</v>
      </c>
      <c r="I396" s="306">
        <f t="shared" si="44"/>
        <v>0</v>
      </c>
    </row>
    <row r="397" spans="2:9" x14ac:dyDescent="0.2">
      <c r="B397" s="139" t="s">
        <v>708</v>
      </c>
      <c r="C397" s="126" t="str">
        <f>VLOOKUP(LEFT(B397,3),Parameters!E:F,2,0)</f>
        <v>Animation</v>
      </c>
      <c r="D397" s="79"/>
      <c r="E397" s="103">
        <v>0</v>
      </c>
      <c r="F397" s="129" t="s">
        <v>98</v>
      </c>
      <c r="G397" s="303">
        <v>0</v>
      </c>
      <c r="H397" s="305">
        <f t="shared" si="43"/>
        <v>0</v>
      </c>
      <c r="I397" s="306">
        <f t="shared" si="44"/>
        <v>0</v>
      </c>
    </row>
    <row r="398" spans="2:9" x14ac:dyDescent="0.2">
      <c r="B398" s="139" t="s">
        <v>710</v>
      </c>
      <c r="C398" s="126" t="str">
        <f>VLOOKUP(LEFT(B398,3),Parameters!E:F,2,0)</f>
        <v>Crew - Graphics</v>
      </c>
      <c r="D398" s="79"/>
      <c r="E398" s="103">
        <v>0</v>
      </c>
      <c r="F398" s="129" t="s">
        <v>98</v>
      </c>
      <c r="G398" s="303">
        <v>0</v>
      </c>
      <c r="H398" s="305">
        <f t="shared" si="43"/>
        <v>0</v>
      </c>
      <c r="I398" s="306">
        <f t="shared" si="44"/>
        <v>0</v>
      </c>
    </row>
    <row r="399" spans="2:9" x14ac:dyDescent="0.2">
      <c r="B399" s="139" t="s">
        <v>712</v>
      </c>
      <c r="C399" s="126" t="str">
        <f>VLOOKUP(LEFT(B399,3),Parameters!E:F,2,0)</f>
        <v>Desk Top Publishing</v>
      </c>
      <c r="D399" s="79"/>
      <c r="E399" s="103">
        <v>0</v>
      </c>
      <c r="F399" s="129" t="s">
        <v>98</v>
      </c>
      <c r="G399" s="303">
        <v>0</v>
      </c>
      <c r="H399" s="305">
        <f t="shared" si="43"/>
        <v>0</v>
      </c>
      <c r="I399" s="306">
        <f t="shared" si="44"/>
        <v>0</v>
      </c>
    </row>
    <row r="400" spans="2:9" x14ac:dyDescent="0.2">
      <c r="B400" s="139" t="s">
        <v>714</v>
      </c>
      <c r="C400" s="126" t="str">
        <f>VLOOKUP(LEFT(B400,3),Parameters!E:F,2,0)</f>
        <v>Rostrum</v>
      </c>
      <c r="D400" s="79"/>
      <c r="E400" s="103">
        <v>0</v>
      </c>
      <c r="F400" s="129" t="s">
        <v>98</v>
      </c>
      <c r="G400" s="303">
        <v>0</v>
      </c>
      <c r="H400" s="305">
        <f t="shared" si="43"/>
        <v>0</v>
      </c>
      <c r="I400" s="306">
        <f t="shared" si="44"/>
        <v>0</v>
      </c>
    </row>
    <row r="401" spans="2:9" x14ac:dyDescent="0.2">
      <c r="B401" s="139" t="s">
        <v>715</v>
      </c>
      <c r="C401" s="126" t="str">
        <f>VLOOKUP(LEFT(B401,3),Parameters!E:F,2,0)</f>
        <v>Scoring Package</v>
      </c>
      <c r="D401" s="79"/>
      <c r="E401" s="103">
        <v>0</v>
      </c>
      <c r="F401" s="129" t="s">
        <v>98</v>
      </c>
      <c r="G401" s="303">
        <v>0</v>
      </c>
      <c r="H401" s="305">
        <f t="shared" si="43"/>
        <v>0</v>
      </c>
      <c r="I401" s="306">
        <f t="shared" si="44"/>
        <v>0</v>
      </c>
    </row>
    <row r="402" spans="2:9" x14ac:dyDescent="0.2">
      <c r="B402" s="14" t="str">
        <f>B393&amp;D402</f>
        <v>24Sub-Total</v>
      </c>
      <c r="C402" s="15"/>
      <c r="D402" s="336" t="s">
        <v>907</v>
      </c>
      <c r="E402" s="337"/>
      <c r="F402" s="16"/>
      <c r="G402" s="15"/>
      <c r="H402" s="309">
        <f>SUM(H394:H401)</f>
        <v>0</v>
      </c>
      <c r="I402" s="310">
        <f>SUM(I394:I401)</f>
        <v>0</v>
      </c>
    </row>
    <row r="403" spans="2:9" ht="7.5" customHeight="1" x14ac:dyDescent="0.2">
      <c r="B403" s="2"/>
      <c r="C403" s="4"/>
      <c r="D403" s="4"/>
      <c r="E403" s="4"/>
      <c r="F403" s="4"/>
      <c r="G403" s="4"/>
      <c r="H403" s="5"/>
      <c r="I403" s="28">
        <f>I402</f>
        <v>0</v>
      </c>
    </row>
    <row r="404" spans="2:9" x14ac:dyDescent="0.2">
      <c r="B404" s="22"/>
      <c r="C404" s="8"/>
      <c r="D404" s="167"/>
      <c r="E404" s="17"/>
      <c r="F404" s="17"/>
      <c r="G404" s="18"/>
      <c r="H404" s="93"/>
      <c r="I404" s="27">
        <f>I420</f>
        <v>0</v>
      </c>
    </row>
    <row r="405" spans="2:9" x14ac:dyDescent="0.2">
      <c r="B405" s="23" t="s">
        <v>54</v>
      </c>
      <c r="C405" s="21" t="s">
        <v>55</v>
      </c>
      <c r="D405" s="166"/>
      <c r="E405" s="95"/>
      <c r="F405" s="95"/>
      <c r="G405" s="96"/>
      <c r="H405" s="151">
        <f>IF(H420=0,0,"Ep")</f>
        <v>0</v>
      </c>
      <c r="I405" s="150">
        <f>IF(I420=0,0,"Series")</f>
        <v>0</v>
      </c>
    </row>
    <row r="406" spans="2:9" ht="7.5" customHeight="1" x14ac:dyDescent="0.2">
      <c r="B406" s="175"/>
      <c r="C406" s="91"/>
      <c r="D406" s="16"/>
      <c r="E406" s="20"/>
      <c r="F406" s="20"/>
      <c r="G406" s="15"/>
      <c r="H406" s="176"/>
      <c r="I406" s="29">
        <v>0</v>
      </c>
    </row>
    <row r="407" spans="2:9" x14ac:dyDescent="0.2">
      <c r="B407" s="139" t="s">
        <v>717</v>
      </c>
      <c r="C407" s="136" t="str">
        <f>VLOOKUP(LEFT(B407,3),Parameters!E:F,2,0)</f>
        <v>Composed Music</v>
      </c>
      <c r="D407" s="79"/>
      <c r="E407" s="103">
        <v>0</v>
      </c>
      <c r="F407" s="129" t="s">
        <v>98</v>
      </c>
      <c r="G407" s="303">
        <v>0</v>
      </c>
      <c r="H407" s="305">
        <f t="shared" ref="H407:H419" si="45">IF(ISERROR(ROUND(I407/Eps,2)),0,ROUND(I407/Eps,2))</f>
        <v>0</v>
      </c>
      <c r="I407" s="306">
        <f>ROUND(E407*G407,2)</f>
        <v>0</v>
      </c>
    </row>
    <row r="408" spans="2:9" x14ac:dyDescent="0.2">
      <c r="B408" s="139" t="s">
        <v>719</v>
      </c>
      <c r="C408" s="126" t="str">
        <f>VLOOKUP(LEFT(B408,3),Parameters!E:F,2,0)</f>
        <v>Musical Director</v>
      </c>
      <c r="D408" s="79"/>
      <c r="E408" s="103">
        <v>0</v>
      </c>
      <c r="F408" s="129" t="s">
        <v>98</v>
      </c>
      <c r="G408" s="303">
        <v>0</v>
      </c>
      <c r="H408" s="305">
        <f t="shared" si="45"/>
        <v>0</v>
      </c>
      <c r="I408" s="306">
        <f t="shared" ref="I408:I416" si="46">ROUND(E408*G408,2)</f>
        <v>0</v>
      </c>
    </row>
    <row r="409" spans="2:9" x14ac:dyDescent="0.2">
      <c r="B409" s="139" t="s">
        <v>721</v>
      </c>
      <c r="C409" s="126" t="str">
        <f>VLOOKUP(LEFT(B409,3),Parameters!E:F,2,0)</f>
        <v>Hired Musicians</v>
      </c>
      <c r="D409" s="79"/>
      <c r="E409" s="103">
        <v>0</v>
      </c>
      <c r="F409" s="129" t="s">
        <v>98</v>
      </c>
      <c r="G409" s="303">
        <v>0</v>
      </c>
      <c r="H409" s="305">
        <f t="shared" si="45"/>
        <v>0</v>
      </c>
      <c r="I409" s="306">
        <f t="shared" si="46"/>
        <v>0</v>
      </c>
    </row>
    <row r="410" spans="2:9" x14ac:dyDescent="0.2">
      <c r="B410" s="139" t="s">
        <v>723</v>
      </c>
      <c r="C410" s="126" t="str">
        <f>VLOOKUP(LEFT(B410,3),Parameters!E:F,2,0)</f>
        <v>PPL / VPL</v>
      </c>
      <c r="D410" s="79"/>
      <c r="E410" s="103">
        <v>0</v>
      </c>
      <c r="F410" s="129" t="s">
        <v>98</v>
      </c>
      <c r="G410" s="303">
        <v>0</v>
      </c>
      <c r="H410" s="305">
        <f t="shared" si="45"/>
        <v>0</v>
      </c>
      <c r="I410" s="306">
        <f t="shared" si="46"/>
        <v>0</v>
      </c>
    </row>
    <row r="411" spans="2:9" x14ac:dyDescent="0.2">
      <c r="B411" s="139" t="s">
        <v>725</v>
      </c>
      <c r="C411" s="126" t="str">
        <f>VLOOKUP(LEFT(B411,3),Parameters!E:F,2,0)</f>
        <v>Signature Tune</v>
      </c>
      <c r="D411" s="79"/>
      <c r="E411" s="103">
        <v>0</v>
      </c>
      <c r="F411" s="129" t="s">
        <v>98</v>
      </c>
      <c r="G411" s="303">
        <v>0</v>
      </c>
      <c r="H411" s="305">
        <f t="shared" si="45"/>
        <v>0</v>
      </c>
      <c r="I411" s="306">
        <f t="shared" si="46"/>
        <v>0</v>
      </c>
    </row>
    <row r="412" spans="2:9" x14ac:dyDescent="0.2">
      <c r="B412" s="139" t="s">
        <v>727</v>
      </c>
      <c r="C412" s="126" t="str">
        <f>VLOOKUP(LEFT(B412,3),Parameters!E:F,2,0)</f>
        <v>Recording Studios</v>
      </c>
      <c r="D412" s="79"/>
      <c r="E412" s="103">
        <v>0</v>
      </c>
      <c r="F412" s="129" t="s">
        <v>98</v>
      </c>
      <c r="G412" s="303">
        <v>0</v>
      </c>
      <c r="H412" s="305">
        <f t="shared" si="45"/>
        <v>0</v>
      </c>
      <c r="I412" s="306">
        <f t="shared" si="46"/>
        <v>0</v>
      </c>
    </row>
    <row r="413" spans="2:9" x14ac:dyDescent="0.2">
      <c r="B413" s="139" t="s">
        <v>729</v>
      </c>
      <c r="C413" s="126" t="str">
        <f>VLOOKUP(LEFT(B413,3),Parameters!E:F,2,0)</f>
        <v>Tape Usage</v>
      </c>
      <c r="D413" s="79"/>
      <c r="E413" s="103">
        <v>0</v>
      </c>
      <c r="F413" s="129" t="s">
        <v>98</v>
      </c>
      <c r="G413" s="303">
        <v>0</v>
      </c>
      <c r="H413" s="305">
        <f t="shared" si="45"/>
        <v>0</v>
      </c>
      <c r="I413" s="306">
        <f t="shared" si="46"/>
        <v>0</v>
      </c>
    </row>
    <row r="414" spans="2:9" x14ac:dyDescent="0.2">
      <c r="B414" s="139" t="s">
        <v>731</v>
      </c>
      <c r="C414" s="126" t="str">
        <f>VLOOKUP(LEFT(B414,3),Parameters!E:F,2,0)</f>
        <v>Instruments</v>
      </c>
      <c r="D414" s="79"/>
      <c r="E414" s="103">
        <v>0</v>
      </c>
      <c r="F414" s="129" t="s">
        <v>98</v>
      </c>
      <c r="G414" s="303">
        <v>0</v>
      </c>
      <c r="H414" s="305">
        <f t="shared" si="45"/>
        <v>0</v>
      </c>
      <c r="I414" s="306">
        <f t="shared" si="46"/>
        <v>0</v>
      </c>
    </row>
    <row r="415" spans="2:9" x14ac:dyDescent="0.2">
      <c r="B415" s="139" t="s">
        <v>733</v>
      </c>
      <c r="C415" s="126" t="str">
        <f>VLOOKUP(LEFT(B415,3),Parameters!E:F,2,0)</f>
        <v>Doubling</v>
      </c>
      <c r="D415" s="79"/>
      <c r="E415" s="103">
        <v>0</v>
      </c>
      <c r="F415" s="129" t="s">
        <v>98</v>
      </c>
      <c r="G415" s="303">
        <v>0</v>
      </c>
      <c r="H415" s="305">
        <f t="shared" si="45"/>
        <v>0</v>
      </c>
      <c r="I415" s="306">
        <f t="shared" si="46"/>
        <v>0</v>
      </c>
    </row>
    <row r="416" spans="2:9" x14ac:dyDescent="0.2">
      <c r="B416" s="139" t="s">
        <v>735</v>
      </c>
      <c r="C416" s="126" t="str">
        <f>VLOOKUP(LEFT(B416,3),Parameters!E:F,2,0)</f>
        <v>Porterage</v>
      </c>
      <c r="D416" s="79"/>
      <c r="E416" s="103">
        <v>0</v>
      </c>
      <c r="F416" s="129" t="s">
        <v>98</v>
      </c>
      <c r="G416" s="303">
        <v>0</v>
      </c>
      <c r="H416" s="305">
        <f t="shared" si="45"/>
        <v>0</v>
      </c>
      <c r="I416" s="306">
        <f t="shared" si="46"/>
        <v>0</v>
      </c>
    </row>
    <row r="417" spans="2:9" x14ac:dyDescent="0.2">
      <c r="B417" s="139" t="s">
        <v>737</v>
      </c>
      <c r="C417" s="126" t="str">
        <f>VLOOKUP(LEFT(B417,3),Parameters!E:F,2,0)</f>
        <v>Arranging</v>
      </c>
      <c r="D417" s="79"/>
      <c r="E417" s="103">
        <v>0</v>
      </c>
      <c r="F417" s="129" t="s">
        <v>98</v>
      </c>
      <c r="G417" s="303">
        <v>0</v>
      </c>
      <c r="H417" s="305">
        <f t="shared" si="45"/>
        <v>0</v>
      </c>
      <c r="I417" s="306">
        <f>ROUND(E417*G417,2)</f>
        <v>0</v>
      </c>
    </row>
    <row r="418" spans="2:9" x14ac:dyDescent="0.2">
      <c r="B418" s="139" t="s">
        <v>739</v>
      </c>
      <c r="C418" s="126" t="str">
        <f>VLOOKUP(LEFT(B418,3),Parameters!E:F,2,0)</f>
        <v>Copying</v>
      </c>
      <c r="D418" s="79"/>
      <c r="E418" s="103">
        <v>0</v>
      </c>
      <c r="F418" s="129" t="s">
        <v>98</v>
      </c>
      <c r="G418" s="303">
        <v>0</v>
      </c>
      <c r="H418" s="305">
        <f t="shared" si="45"/>
        <v>0</v>
      </c>
      <c r="I418" s="306">
        <f>ROUND(E418*G418,2)</f>
        <v>0</v>
      </c>
    </row>
    <row r="419" spans="2:9" x14ac:dyDescent="0.2">
      <c r="B419" s="139" t="s">
        <v>741</v>
      </c>
      <c r="C419" s="126" t="str">
        <f>VLOOKUP(LEFT(B419,3),Parameters!E:F,2,0)</f>
        <v>Music - Other</v>
      </c>
      <c r="D419" s="79"/>
      <c r="E419" s="103">
        <v>0</v>
      </c>
      <c r="F419" s="129" t="s">
        <v>98</v>
      </c>
      <c r="G419" s="303">
        <v>0</v>
      </c>
      <c r="H419" s="305">
        <f t="shared" si="45"/>
        <v>0</v>
      </c>
      <c r="I419" s="306">
        <f>ROUND(E419*G419,2)</f>
        <v>0</v>
      </c>
    </row>
    <row r="420" spans="2:9" x14ac:dyDescent="0.2">
      <c r="B420" s="14" t="str">
        <f>B405&amp;D420</f>
        <v>25Sub-Total</v>
      </c>
      <c r="C420" s="15"/>
      <c r="D420" s="336" t="s">
        <v>907</v>
      </c>
      <c r="E420" s="337"/>
      <c r="F420" s="16"/>
      <c r="G420" s="15"/>
      <c r="H420" s="309">
        <f>SUM(H406:H419)</f>
        <v>0</v>
      </c>
      <c r="I420" s="310">
        <f>SUM(I406:I419)</f>
        <v>0</v>
      </c>
    </row>
    <row r="421" spans="2:9" ht="7.5" customHeight="1" x14ac:dyDescent="0.2">
      <c r="B421" s="2"/>
      <c r="C421" s="4"/>
      <c r="D421" s="4"/>
      <c r="E421" s="4"/>
      <c r="F421" s="4"/>
      <c r="G421" s="4"/>
      <c r="H421" s="5"/>
      <c r="I421" s="28">
        <f>I420</f>
        <v>0</v>
      </c>
    </row>
    <row r="422" spans="2:9" x14ac:dyDescent="0.2">
      <c r="B422" s="22"/>
      <c r="C422" s="8"/>
      <c r="D422" s="167"/>
      <c r="E422" s="17"/>
      <c r="F422" s="17"/>
      <c r="G422" s="18"/>
      <c r="H422" s="93"/>
      <c r="I422" s="27">
        <f>I454</f>
        <v>0</v>
      </c>
    </row>
    <row r="423" spans="2:9" x14ac:dyDescent="0.2">
      <c r="B423" s="23" t="s">
        <v>56</v>
      </c>
      <c r="C423" s="21" t="s">
        <v>946</v>
      </c>
      <c r="D423" s="166"/>
      <c r="E423" s="95"/>
      <c r="F423" s="95"/>
      <c r="G423" s="96"/>
      <c r="H423" s="151">
        <f>IF(H454=0,0,"Ep")</f>
        <v>0</v>
      </c>
      <c r="I423" s="150">
        <f>IF(I454=0,0,"Series")</f>
        <v>0</v>
      </c>
    </row>
    <row r="424" spans="2:9" ht="7.5" customHeight="1" x14ac:dyDescent="0.2">
      <c r="B424" s="175"/>
      <c r="C424" s="91"/>
      <c r="D424" s="16"/>
      <c r="E424" s="20"/>
      <c r="F424" s="20"/>
      <c r="G424" s="15"/>
      <c r="H424" s="176"/>
      <c r="I424" s="29">
        <v>0</v>
      </c>
    </row>
    <row r="425" spans="2:9" x14ac:dyDescent="0.2">
      <c r="B425" s="139" t="s">
        <v>743</v>
      </c>
      <c r="C425" s="136" t="str">
        <f>VLOOKUP(LEFT(B425,3),Parameters!E:F,2,0)</f>
        <v>Coach &amp; Minibus Hire</v>
      </c>
      <c r="D425" s="79"/>
      <c r="E425" s="103">
        <v>0</v>
      </c>
      <c r="F425" s="129" t="s">
        <v>98</v>
      </c>
      <c r="G425" s="303">
        <v>0</v>
      </c>
      <c r="H425" s="305">
        <f t="shared" ref="H425:H453" si="47">IF(ISERROR(ROUND(I425/Eps,2)),0,ROUND(I425/Eps,2))</f>
        <v>0</v>
      </c>
      <c r="I425" s="306">
        <f t="shared" ref="I425:I434" si="48">ROUND(E425*G425,2)</f>
        <v>0</v>
      </c>
    </row>
    <row r="426" spans="2:9" x14ac:dyDescent="0.2">
      <c r="B426" s="139" t="s">
        <v>745</v>
      </c>
      <c r="C426" s="126" t="str">
        <f>VLOOKUP(LEFT(B426,3),Parameters!E:F,2,0)</f>
        <v>Cars / Car Hire (UK)</v>
      </c>
      <c r="D426" s="79"/>
      <c r="E426" s="103"/>
      <c r="F426" s="129" t="s">
        <v>98</v>
      </c>
      <c r="G426" s="303"/>
      <c r="H426" s="305">
        <f t="shared" si="47"/>
        <v>0</v>
      </c>
      <c r="I426" s="306">
        <f t="shared" si="48"/>
        <v>0</v>
      </c>
    </row>
    <row r="427" spans="2:9" x14ac:dyDescent="0.2">
      <c r="B427" s="139" t="s">
        <v>747</v>
      </c>
      <c r="C427" s="126" t="str">
        <f>VLOOKUP(LEFT(B427,3),Parameters!E:F,2,0)</f>
        <v>Fuel</v>
      </c>
      <c r="D427" s="79"/>
      <c r="E427" s="103">
        <v>0</v>
      </c>
      <c r="F427" s="129" t="s">
        <v>98</v>
      </c>
      <c r="G427" s="303">
        <v>0</v>
      </c>
      <c r="H427" s="305">
        <f t="shared" si="47"/>
        <v>0</v>
      </c>
      <c r="I427" s="306">
        <f t="shared" si="48"/>
        <v>0</v>
      </c>
    </row>
    <row r="428" spans="2:9" x14ac:dyDescent="0.2">
      <c r="B428" s="139" t="s">
        <v>749</v>
      </c>
      <c r="C428" s="126" t="str">
        <f>VLOOKUP(LEFT(B428,3),Parameters!E:F,2,0)</f>
        <v>Carriage / Taxis / Bikes</v>
      </c>
      <c r="D428" s="79"/>
      <c r="E428" s="103"/>
      <c r="F428" s="129" t="s">
        <v>98</v>
      </c>
      <c r="G428" s="303"/>
      <c r="H428" s="305">
        <f t="shared" si="47"/>
        <v>0</v>
      </c>
      <c r="I428" s="306">
        <f t="shared" si="48"/>
        <v>0</v>
      </c>
    </row>
    <row r="429" spans="2:9" x14ac:dyDescent="0.2">
      <c r="B429" s="139" t="s">
        <v>751</v>
      </c>
      <c r="C429" s="126" t="str">
        <f>VLOOKUP(LEFT(B429,3),Parameters!E:F,2,0)</f>
        <v>Freight, Customs &amp; Excess Baggage</v>
      </c>
      <c r="D429" s="79"/>
      <c r="E429" s="103">
        <v>0</v>
      </c>
      <c r="F429" s="129" t="s">
        <v>98</v>
      </c>
      <c r="G429" s="303">
        <v>0</v>
      </c>
      <c r="H429" s="305">
        <f t="shared" si="47"/>
        <v>0</v>
      </c>
      <c r="I429" s="306">
        <f t="shared" si="48"/>
        <v>0</v>
      </c>
    </row>
    <row r="430" spans="2:9" x14ac:dyDescent="0.2">
      <c r="B430" s="139" t="s">
        <v>753</v>
      </c>
      <c r="C430" s="126" t="str">
        <f>VLOOKUP(LEFT(B430,3),Parameters!E:F,2,0)</f>
        <v>Carnets / Permits / Visas</v>
      </c>
      <c r="D430" s="79"/>
      <c r="E430" s="103">
        <v>0</v>
      </c>
      <c r="F430" s="129" t="s">
        <v>98</v>
      </c>
      <c r="G430" s="303">
        <v>0</v>
      </c>
      <c r="H430" s="305">
        <f t="shared" si="47"/>
        <v>0</v>
      </c>
      <c r="I430" s="306">
        <f t="shared" si="48"/>
        <v>0</v>
      </c>
    </row>
    <row r="431" spans="2:9" x14ac:dyDescent="0.2">
      <c r="B431" s="139" t="s">
        <v>755</v>
      </c>
      <c r="C431" s="126" t="str">
        <f>VLOOKUP(LEFT(B431,3),Parameters!E:F,2,0)</f>
        <v>UK Mileage</v>
      </c>
      <c r="D431" s="79"/>
      <c r="E431" s="103">
        <v>0</v>
      </c>
      <c r="F431" s="129" t="s">
        <v>98</v>
      </c>
      <c r="G431" s="303">
        <v>0</v>
      </c>
      <c r="H431" s="305">
        <f t="shared" si="47"/>
        <v>0</v>
      </c>
      <c r="I431" s="306">
        <f t="shared" si="48"/>
        <v>0</v>
      </c>
    </row>
    <row r="432" spans="2:9" x14ac:dyDescent="0.2">
      <c r="B432" s="139" t="s">
        <v>757</v>
      </c>
      <c r="C432" s="126" t="str">
        <f>VLOOKUP(LEFT(B432,3),Parameters!E:F,2,0)</f>
        <v>UK Air Fares</v>
      </c>
      <c r="D432" s="79"/>
      <c r="E432" s="103">
        <v>0</v>
      </c>
      <c r="F432" s="129" t="s">
        <v>98</v>
      </c>
      <c r="G432" s="303">
        <v>0</v>
      </c>
      <c r="H432" s="305">
        <f t="shared" si="47"/>
        <v>0</v>
      </c>
      <c r="I432" s="306">
        <f t="shared" si="48"/>
        <v>0</v>
      </c>
    </row>
    <row r="433" spans="2:9" x14ac:dyDescent="0.2">
      <c r="B433" s="139" t="s">
        <v>759</v>
      </c>
      <c r="C433" s="126" t="str">
        <f>VLOOKUP(LEFT(B433,3),Parameters!E:F,2,0)</f>
        <v>UK Rail Fares</v>
      </c>
      <c r="D433" s="79"/>
      <c r="E433" s="103">
        <v>0</v>
      </c>
      <c r="F433" s="129" t="s">
        <v>98</v>
      </c>
      <c r="G433" s="303">
        <v>0</v>
      </c>
      <c r="H433" s="305">
        <f t="shared" si="47"/>
        <v>0</v>
      </c>
      <c r="I433" s="306">
        <f t="shared" si="48"/>
        <v>0</v>
      </c>
    </row>
    <row r="434" spans="2:9" x14ac:dyDescent="0.2">
      <c r="B434" s="139" t="s">
        <v>761</v>
      </c>
      <c r="C434" s="126" t="str">
        <f>VLOOKUP(LEFT(B434,3),Parameters!E:F,2,0)</f>
        <v>UK Ferries</v>
      </c>
      <c r="D434" s="79"/>
      <c r="E434" s="103">
        <v>0</v>
      </c>
      <c r="F434" s="129" t="s">
        <v>98</v>
      </c>
      <c r="G434" s="303">
        <v>0</v>
      </c>
      <c r="H434" s="305">
        <f t="shared" si="47"/>
        <v>0</v>
      </c>
      <c r="I434" s="306">
        <f t="shared" si="48"/>
        <v>0</v>
      </c>
    </row>
    <row r="435" spans="2:9" x14ac:dyDescent="0.2">
      <c r="B435" s="139" t="s">
        <v>763</v>
      </c>
      <c r="C435" s="126" t="str">
        <f>VLOOKUP(LEFT(B435,3),Parameters!E:F,2,0)</f>
        <v>UK Taxis</v>
      </c>
      <c r="D435" s="79"/>
      <c r="E435" s="103">
        <v>0</v>
      </c>
      <c r="F435" s="129" t="s">
        <v>98</v>
      </c>
      <c r="G435" s="303">
        <v>0</v>
      </c>
      <c r="H435" s="305">
        <f t="shared" si="47"/>
        <v>0</v>
      </c>
      <c r="I435" s="306">
        <f t="shared" ref="I435:I447" si="49">ROUND(E435*G435,2)</f>
        <v>0</v>
      </c>
    </row>
    <row r="436" spans="2:9" x14ac:dyDescent="0.2">
      <c r="B436" s="139" t="s">
        <v>765</v>
      </c>
      <c r="C436" s="126" t="str">
        <f>VLOOKUP(LEFT(B436,3),Parameters!E:F,2,0)</f>
        <v>UK Other Travel</v>
      </c>
      <c r="D436" s="79"/>
      <c r="E436" s="103"/>
      <c r="F436" s="129" t="s">
        <v>98</v>
      </c>
      <c r="G436" s="303"/>
      <c r="H436" s="305">
        <f>IF(ISERROR(ROUND(I436/Eps,2)),0,ROUND(I436/Eps,2))</f>
        <v>0</v>
      </c>
      <c r="I436" s="306">
        <f>ROUND(E436*G436,2)</f>
        <v>0</v>
      </c>
    </row>
    <row r="437" spans="2:9" x14ac:dyDescent="0.2">
      <c r="B437" s="139" t="s">
        <v>765</v>
      </c>
      <c r="C437" s="126" t="str">
        <f>VLOOKUP(LEFT(B437,3),Parameters!E:F,2,0)</f>
        <v>UK Other Travel</v>
      </c>
      <c r="D437" s="79"/>
      <c r="E437" s="103"/>
      <c r="F437" s="129" t="s">
        <v>98</v>
      </c>
      <c r="G437" s="303"/>
      <c r="H437" s="305">
        <f>IF(ISERROR(ROUND(I437/Eps,2)),0,ROUND(I437/Eps,2))</f>
        <v>0</v>
      </c>
      <c r="I437" s="306">
        <f>ROUND(E437*G437,2)</f>
        <v>0</v>
      </c>
    </row>
    <row r="438" spans="2:9" x14ac:dyDescent="0.2">
      <c r="B438" s="139" t="s">
        <v>765</v>
      </c>
      <c r="C438" s="126" t="str">
        <f>VLOOKUP(LEFT(B438,3),Parameters!E:F,2,0)</f>
        <v>UK Other Travel</v>
      </c>
      <c r="D438" s="79"/>
      <c r="E438" s="103"/>
      <c r="F438" s="129" t="s">
        <v>98</v>
      </c>
      <c r="G438" s="303"/>
      <c r="H438" s="305">
        <f>IF(ISERROR(ROUND(I438/Eps,2)),0,ROUND(I438/Eps,2))</f>
        <v>0</v>
      </c>
      <c r="I438" s="306">
        <f>ROUND(E438*G438,2)</f>
        <v>0</v>
      </c>
    </row>
    <row r="439" spans="2:9" x14ac:dyDescent="0.2">
      <c r="B439" s="139" t="s">
        <v>765</v>
      </c>
      <c r="C439" s="126" t="str">
        <f>VLOOKUP(LEFT(B439,3),Parameters!E:F,2,0)</f>
        <v>UK Other Travel</v>
      </c>
      <c r="D439" s="79"/>
      <c r="E439" s="103"/>
      <c r="F439" s="129" t="s">
        <v>98</v>
      </c>
      <c r="G439" s="303"/>
      <c r="H439" s="305">
        <f>IF(ISERROR(ROUND(I439/Eps,2)),0,ROUND(I439/Eps,2))</f>
        <v>0</v>
      </c>
      <c r="I439" s="306">
        <f>ROUND(E439*G439,2)</f>
        <v>0</v>
      </c>
    </row>
    <row r="440" spans="2:9" x14ac:dyDescent="0.2">
      <c r="B440" s="139" t="s">
        <v>765</v>
      </c>
      <c r="C440" s="126" t="str">
        <f>VLOOKUP(LEFT(B440,3),Parameters!E:F,2,0)</f>
        <v>UK Other Travel</v>
      </c>
      <c r="D440" s="79"/>
      <c r="E440" s="103"/>
      <c r="F440" s="129" t="s">
        <v>98</v>
      </c>
      <c r="G440" s="303"/>
      <c r="H440" s="305">
        <f t="shared" si="47"/>
        <v>0</v>
      </c>
      <c r="I440" s="306">
        <f t="shared" si="49"/>
        <v>0</v>
      </c>
    </row>
    <row r="441" spans="2:9" x14ac:dyDescent="0.2">
      <c r="B441" s="139" t="s">
        <v>767</v>
      </c>
      <c r="C441" s="126" t="str">
        <f>VLOOKUP(LEFT(B441,3),Parameters!E:F,2,0)</f>
        <v>Overseas Air Fares</v>
      </c>
      <c r="D441" s="79"/>
      <c r="E441" s="103">
        <v>0</v>
      </c>
      <c r="F441" s="129" t="s">
        <v>98</v>
      </c>
      <c r="G441" s="303">
        <v>0</v>
      </c>
      <c r="H441" s="305">
        <f t="shared" si="47"/>
        <v>0</v>
      </c>
      <c r="I441" s="306">
        <f t="shared" si="49"/>
        <v>0</v>
      </c>
    </row>
    <row r="442" spans="2:9" x14ac:dyDescent="0.2">
      <c r="B442" s="139" t="s">
        <v>769</v>
      </c>
      <c r="C442" s="126" t="str">
        <f>VLOOKUP(LEFT(B442,3),Parameters!E:F,2,0)</f>
        <v>Overseas Rail Fares</v>
      </c>
      <c r="D442" s="79"/>
      <c r="E442" s="103">
        <v>0</v>
      </c>
      <c r="F442" s="129" t="s">
        <v>98</v>
      </c>
      <c r="G442" s="303">
        <v>0</v>
      </c>
      <c r="H442" s="305">
        <f t="shared" si="47"/>
        <v>0</v>
      </c>
      <c r="I442" s="306">
        <f t="shared" si="49"/>
        <v>0</v>
      </c>
    </row>
    <row r="443" spans="2:9" x14ac:dyDescent="0.2">
      <c r="B443" s="139" t="s">
        <v>771</v>
      </c>
      <c r="C443" s="126" t="str">
        <f>VLOOKUP(LEFT(B443,3),Parameters!E:F,2,0)</f>
        <v>Overseas Ferries</v>
      </c>
      <c r="D443" s="79"/>
      <c r="E443" s="103">
        <v>0</v>
      </c>
      <c r="F443" s="129" t="s">
        <v>98</v>
      </c>
      <c r="G443" s="303">
        <v>0</v>
      </c>
      <c r="H443" s="305">
        <f t="shared" si="47"/>
        <v>0</v>
      </c>
      <c r="I443" s="306">
        <f t="shared" si="49"/>
        <v>0</v>
      </c>
    </row>
    <row r="444" spans="2:9" x14ac:dyDescent="0.2">
      <c r="B444" s="139" t="s">
        <v>773</v>
      </c>
      <c r="C444" s="126" t="str">
        <f>VLOOKUP(LEFT(B444,3),Parameters!E:F,2,0)</f>
        <v>Overseas Taxis</v>
      </c>
      <c r="D444" s="79"/>
      <c r="E444" s="103">
        <v>0</v>
      </c>
      <c r="F444" s="129" t="s">
        <v>98</v>
      </c>
      <c r="G444" s="303">
        <v>0</v>
      </c>
      <c r="H444" s="305">
        <f t="shared" si="47"/>
        <v>0</v>
      </c>
      <c r="I444" s="306">
        <f t="shared" si="49"/>
        <v>0</v>
      </c>
    </row>
    <row r="445" spans="2:9" x14ac:dyDescent="0.2">
      <c r="B445" s="139" t="s">
        <v>775</v>
      </c>
      <c r="C445" s="126" t="str">
        <f>VLOOKUP(LEFT(B445,3),Parameters!E:F,2,0)</f>
        <v>Overseas Car Hire</v>
      </c>
      <c r="D445" s="79"/>
      <c r="E445" s="103">
        <v>0</v>
      </c>
      <c r="F445" s="129" t="s">
        <v>98</v>
      </c>
      <c r="G445" s="303">
        <v>0</v>
      </c>
      <c r="H445" s="305">
        <f t="shared" si="47"/>
        <v>0</v>
      </c>
      <c r="I445" s="306">
        <f t="shared" si="49"/>
        <v>0</v>
      </c>
    </row>
    <row r="446" spans="2:9" x14ac:dyDescent="0.2">
      <c r="B446" s="139" t="s">
        <v>777</v>
      </c>
      <c r="C446" s="126" t="str">
        <f>VLOOKUP(LEFT(B446,3),Parameters!E:F,2,0)</f>
        <v>Overseas Fuel</v>
      </c>
      <c r="D446" s="79"/>
      <c r="E446" s="103">
        <v>0</v>
      </c>
      <c r="F446" s="129" t="s">
        <v>98</v>
      </c>
      <c r="G446" s="303">
        <v>0</v>
      </c>
      <c r="H446" s="305">
        <f t="shared" si="47"/>
        <v>0</v>
      </c>
      <c r="I446" s="306">
        <f t="shared" si="49"/>
        <v>0</v>
      </c>
    </row>
    <row r="447" spans="2:9" x14ac:dyDescent="0.2">
      <c r="B447" s="139" t="s">
        <v>779</v>
      </c>
      <c r="C447" s="126" t="str">
        <f>VLOOKUP(LEFT(B447,3),Parameters!E:F,2,0)</f>
        <v>Overseas Other Travel</v>
      </c>
      <c r="D447" s="79"/>
      <c r="E447" s="103">
        <v>0</v>
      </c>
      <c r="F447" s="129" t="s">
        <v>98</v>
      </c>
      <c r="G447" s="303">
        <v>0</v>
      </c>
      <c r="H447" s="305">
        <f t="shared" si="47"/>
        <v>0</v>
      </c>
      <c r="I447" s="306">
        <f t="shared" si="49"/>
        <v>0</v>
      </c>
    </row>
    <row r="448" spans="2:9" x14ac:dyDescent="0.2">
      <c r="B448" s="139" t="s">
        <v>781</v>
      </c>
      <c r="C448" s="126" t="str">
        <f>VLOOKUP(LEFT(B448,3),Parameters!E:F,2,0)</f>
        <v>Awards Ceremonies Travel &amp; Transport</v>
      </c>
      <c r="D448" s="79"/>
      <c r="E448" s="103">
        <v>0</v>
      </c>
      <c r="F448" s="129" t="s">
        <v>98</v>
      </c>
      <c r="G448" s="303">
        <v>0</v>
      </c>
      <c r="H448" s="305">
        <f t="shared" si="47"/>
        <v>0</v>
      </c>
      <c r="I448" s="306">
        <f t="shared" ref="I448:I453" si="50">ROUND(E448*G448,2)</f>
        <v>0</v>
      </c>
    </row>
    <row r="449" spans="2:9" x14ac:dyDescent="0.2">
      <c r="B449" s="139" t="s">
        <v>783</v>
      </c>
      <c r="C449" s="126" t="str">
        <f>VLOOKUP(LEFT(B449,3),Parameters!E:F,2,0)</f>
        <v>Writers Expenses</v>
      </c>
      <c r="D449" s="79"/>
      <c r="E449" s="103">
        <v>0</v>
      </c>
      <c r="F449" s="129" t="s">
        <v>98</v>
      </c>
      <c r="G449" s="303">
        <v>0</v>
      </c>
      <c r="H449" s="305">
        <f t="shared" si="47"/>
        <v>0</v>
      </c>
      <c r="I449" s="306">
        <f t="shared" si="50"/>
        <v>0</v>
      </c>
    </row>
    <row r="450" spans="2:9" x14ac:dyDescent="0.2">
      <c r="B450" s="139" t="s">
        <v>785</v>
      </c>
      <c r="C450" s="126" t="str">
        <f>VLOOKUP(LEFT(B450,3),Parameters!E:F,2,0)</f>
        <v>Presenters Expenses</v>
      </c>
      <c r="D450" s="79"/>
      <c r="E450" s="103">
        <v>0</v>
      </c>
      <c r="F450" s="129" t="s">
        <v>98</v>
      </c>
      <c r="G450" s="303">
        <v>0</v>
      </c>
      <c r="H450" s="305">
        <f t="shared" si="47"/>
        <v>0</v>
      </c>
      <c r="I450" s="306">
        <f t="shared" si="50"/>
        <v>0</v>
      </c>
    </row>
    <row r="451" spans="2:9" x14ac:dyDescent="0.2">
      <c r="B451" s="139" t="s">
        <v>787</v>
      </c>
      <c r="C451" s="126" t="str">
        <f>VLOOKUP(LEFT(B451,3),Parameters!E:F,2,0)</f>
        <v>Performers Travel</v>
      </c>
      <c r="D451" s="79"/>
      <c r="E451" s="103">
        <v>0</v>
      </c>
      <c r="F451" s="129" t="s">
        <v>98</v>
      </c>
      <c r="G451" s="303">
        <v>0</v>
      </c>
      <c r="H451" s="305">
        <f t="shared" si="47"/>
        <v>0</v>
      </c>
      <c r="I451" s="306">
        <f>ROUND(E451*G451,2)</f>
        <v>0</v>
      </c>
    </row>
    <row r="452" spans="2:9" x14ac:dyDescent="0.2">
      <c r="B452" s="139" t="s">
        <v>789</v>
      </c>
      <c r="C452" s="126" t="str">
        <f>VLOOKUP(LEFT(B452,3),Parameters!E:F,2,0)</f>
        <v>Other Artist Expenses</v>
      </c>
      <c r="D452" s="79"/>
      <c r="E452" s="103">
        <v>0</v>
      </c>
      <c r="F452" s="129" t="s">
        <v>98</v>
      </c>
      <c r="G452" s="303">
        <v>0</v>
      </c>
      <c r="H452" s="305">
        <f t="shared" si="47"/>
        <v>0</v>
      </c>
      <c r="I452" s="306">
        <f>ROUND(E452*G452,2)</f>
        <v>0</v>
      </c>
    </row>
    <row r="453" spans="2:9" x14ac:dyDescent="0.2">
      <c r="B453" s="139" t="s">
        <v>791</v>
      </c>
      <c r="C453" s="126" t="str">
        <f>VLOOKUP(LEFT(B453,3),Parameters!E:F,2,0)</f>
        <v>UK Parking</v>
      </c>
      <c r="D453" s="79"/>
      <c r="E453" s="103">
        <v>0</v>
      </c>
      <c r="F453" s="129" t="s">
        <v>98</v>
      </c>
      <c r="G453" s="303">
        <v>0</v>
      </c>
      <c r="H453" s="305">
        <f t="shared" si="47"/>
        <v>0</v>
      </c>
      <c r="I453" s="306">
        <f t="shared" si="50"/>
        <v>0</v>
      </c>
    </row>
    <row r="454" spans="2:9" x14ac:dyDescent="0.2">
      <c r="B454" s="14" t="str">
        <f>B423&amp;D454</f>
        <v>26Sub-Total</v>
      </c>
      <c r="C454" s="15"/>
      <c r="D454" s="336" t="s">
        <v>907</v>
      </c>
      <c r="E454" s="337"/>
      <c r="F454" s="16"/>
      <c r="G454" s="15"/>
      <c r="H454" s="309">
        <f>SUM(H424:H453)</f>
        <v>0</v>
      </c>
      <c r="I454" s="310">
        <f>SUM(I424:I453)</f>
        <v>0</v>
      </c>
    </row>
    <row r="455" spans="2:9" ht="7.5" customHeight="1" x14ac:dyDescent="0.2">
      <c r="B455" s="2"/>
      <c r="C455" s="4"/>
      <c r="D455" s="4"/>
      <c r="E455" s="4"/>
      <c r="F455" s="4"/>
      <c r="G455" s="4"/>
      <c r="H455" s="5"/>
      <c r="I455" s="28">
        <f>I454</f>
        <v>0</v>
      </c>
    </row>
    <row r="456" spans="2:9" x14ac:dyDescent="0.2">
      <c r="B456" s="22"/>
      <c r="C456" s="8"/>
      <c r="D456" s="167"/>
      <c r="E456" s="17"/>
      <c r="F456" s="17"/>
      <c r="G456" s="18"/>
      <c r="H456" s="93"/>
      <c r="I456" s="27">
        <f>I479</f>
        <v>0</v>
      </c>
    </row>
    <row r="457" spans="2:9" x14ac:dyDescent="0.2">
      <c r="B457" s="23" t="s">
        <v>58</v>
      </c>
      <c r="C457" s="21" t="s">
        <v>947</v>
      </c>
      <c r="D457" s="166"/>
      <c r="E457" s="95"/>
      <c r="F457" s="95"/>
      <c r="G457" s="96"/>
      <c r="H457" s="151">
        <f>IF(H479=0,0,"Ep")</f>
        <v>0</v>
      </c>
      <c r="I457" s="150">
        <f>IF(I479=0,0,"Series")</f>
        <v>0</v>
      </c>
    </row>
    <row r="458" spans="2:9" ht="7.5" customHeight="1" x14ac:dyDescent="0.2">
      <c r="B458" s="175"/>
      <c r="C458" s="91"/>
      <c r="D458" s="16"/>
      <c r="E458" s="20"/>
      <c r="F458" s="20"/>
      <c r="G458" s="15"/>
      <c r="H458" s="176"/>
      <c r="I458" s="29">
        <v>0</v>
      </c>
    </row>
    <row r="459" spans="2:9" x14ac:dyDescent="0.2">
      <c r="B459" s="139" t="s">
        <v>793</v>
      </c>
      <c r="C459" s="136" t="str">
        <f>VLOOKUP(LEFT(B459,3),Parameters!E:F,2,0)</f>
        <v>Hospitality</v>
      </c>
      <c r="D459" s="79"/>
      <c r="E459" s="103"/>
      <c r="F459" s="129" t="s">
        <v>98</v>
      </c>
      <c r="G459" s="303"/>
      <c r="H459" s="305">
        <f t="shared" ref="H459:H478" si="51">IF(ISERROR(ROUND(I459/Eps,2)),0,ROUND(I459/Eps,2))</f>
        <v>0</v>
      </c>
      <c r="I459" s="306">
        <f>ROUND(E459*G459,2)</f>
        <v>0</v>
      </c>
    </row>
    <row r="460" spans="2:9" x14ac:dyDescent="0.2">
      <c r="B460" s="139" t="s">
        <v>795</v>
      </c>
      <c r="C460" s="126" t="str">
        <f>VLOOKUP(LEFT(B460,3),Parameters!E:F,2,0)</f>
        <v>Foreign Staff Expenses</v>
      </c>
      <c r="D460" s="79"/>
      <c r="E460" s="103">
        <v>0</v>
      </c>
      <c r="F460" s="129" t="s">
        <v>98</v>
      </c>
      <c r="G460" s="303">
        <v>0</v>
      </c>
      <c r="H460" s="305">
        <f t="shared" si="51"/>
        <v>0</v>
      </c>
      <c r="I460" s="306">
        <f t="shared" ref="I460:I468" si="52">ROUND(E460*G460,2)</f>
        <v>0</v>
      </c>
    </row>
    <row r="461" spans="2:9" x14ac:dyDescent="0.2">
      <c r="B461" s="139" t="s">
        <v>797</v>
      </c>
      <c r="C461" s="126" t="str">
        <f>VLOOKUP(LEFT(B461,3),Parameters!E:F,2,0)</f>
        <v>Crew Meals</v>
      </c>
      <c r="D461" s="79"/>
      <c r="E461" s="103">
        <v>0</v>
      </c>
      <c r="F461" s="129" t="s">
        <v>98</v>
      </c>
      <c r="G461" s="303">
        <v>0</v>
      </c>
      <c r="H461" s="305">
        <f t="shared" si="51"/>
        <v>0</v>
      </c>
      <c r="I461" s="306">
        <f t="shared" si="52"/>
        <v>0</v>
      </c>
    </row>
    <row r="462" spans="2:9" x14ac:dyDescent="0.2">
      <c r="B462" s="139" t="s">
        <v>799</v>
      </c>
      <c r="C462" s="126" t="str">
        <f>VLOOKUP(LEFT(B462,3),Parameters!E:F,2,0)</f>
        <v>UK Accommodation Allowances</v>
      </c>
      <c r="D462" s="79"/>
      <c r="E462" s="103">
        <v>0</v>
      </c>
      <c r="F462" s="129" t="s">
        <v>98</v>
      </c>
      <c r="G462" s="303">
        <v>0</v>
      </c>
      <c r="H462" s="305">
        <f t="shared" si="51"/>
        <v>0</v>
      </c>
      <c r="I462" s="306">
        <f t="shared" si="52"/>
        <v>0</v>
      </c>
    </row>
    <row r="463" spans="2:9" x14ac:dyDescent="0.2">
      <c r="B463" s="139" t="s">
        <v>801</v>
      </c>
      <c r="C463" s="126" t="str">
        <f>VLOOKUP(LEFT(B463,3),Parameters!E:F,2,0)</f>
        <v>UK Per Diems</v>
      </c>
      <c r="D463" s="79"/>
      <c r="E463" s="103"/>
      <c r="F463" s="129" t="s">
        <v>98</v>
      </c>
      <c r="G463" s="303"/>
      <c r="H463" s="305">
        <f t="shared" si="51"/>
        <v>0</v>
      </c>
      <c r="I463" s="306">
        <f t="shared" si="52"/>
        <v>0</v>
      </c>
    </row>
    <row r="464" spans="2:9" x14ac:dyDescent="0.2">
      <c r="B464" s="139" t="s">
        <v>803</v>
      </c>
      <c r="C464" s="126" t="str">
        <f>VLOOKUP(LEFT(B464,3),Parameters!E:F,2,0)</f>
        <v>UK Meal Allowances</v>
      </c>
      <c r="D464" s="79"/>
      <c r="E464" s="103">
        <v>0</v>
      </c>
      <c r="F464" s="129" t="s">
        <v>98</v>
      </c>
      <c r="G464" s="303">
        <v>0</v>
      </c>
      <c r="H464" s="305">
        <f t="shared" si="51"/>
        <v>0</v>
      </c>
      <c r="I464" s="306">
        <f t="shared" si="52"/>
        <v>0</v>
      </c>
    </row>
    <row r="465" spans="2:9" x14ac:dyDescent="0.2">
      <c r="B465" s="139" t="s">
        <v>805</v>
      </c>
      <c r="C465" s="126" t="str">
        <f>VLOOKUP(LEFT(B465,3),Parameters!E:F,2,0)</f>
        <v>UK Hotel Bills</v>
      </c>
      <c r="D465" s="79"/>
      <c r="E465" s="103"/>
      <c r="F465" s="129" t="s">
        <v>98</v>
      </c>
      <c r="G465" s="303"/>
      <c r="H465" s="305">
        <f t="shared" si="51"/>
        <v>0</v>
      </c>
      <c r="I465" s="306">
        <f t="shared" si="52"/>
        <v>0</v>
      </c>
    </row>
    <row r="466" spans="2:9" x14ac:dyDescent="0.2">
      <c r="B466" s="139" t="s">
        <v>807</v>
      </c>
      <c r="C466" s="126" t="str">
        <f>VLOOKUP(LEFT(B466,3),Parameters!E:F,2,0)</f>
        <v>UK Meal Bills</v>
      </c>
      <c r="D466" s="79"/>
      <c r="E466" s="103">
        <v>0</v>
      </c>
      <c r="F466" s="129" t="s">
        <v>98</v>
      </c>
      <c r="G466" s="303">
        <v>0</v>
      </c>
      <c r="H466" s="305">
        <f t="shared" si="51"/>
        <v>0</v>
      </c>
      <c r="I466" s="306">
        <f t="shared" si="52"/>
        <v>0</v>
      </c>
    </row>
    <row r="467" spans="2:9" x14ac:dyDescent="0.2">
      <c r="B467" s="139" t="s">
        <v>809</v>
      </c>
      <c r="C467" s="126" t="str">
        <f>VLOOKUP(LEFT(B467,3),Parameters!E:F,2,0)</f>
        <v>UK Entertaining &amp; Gratuities</v>
      </c>
      <c r="D467" s="79"/>
      <c r="E467" s="103">
        <v>0</v>
      </c>
      <c r="F467" s="129" t="s">
        <v>98</v>
      </c>
      <c r="G467" s="303">
        <v>0</v>
      </c>
      <c r="H467" s="305">
        <f t="shared" si="51"/>
        <v>0</v>
      </c>
      <c r="I467" s="306">
        <f t="shared" si="52"/>
        <v>0</v>
      </c>
    </row>
    <row r="468" spans="2:9" x14ac:dyDescent="0.2">
      <c r="B468" s="139" t="s">
        <v>811</v>
      </c>
      <c r="C468" s="126" t="str">
        <f>VLOOKUP(LEFT(B468,3),Parameters!E:F,2,0)</f>
        <v>UK Other Hotel &amp; Living</v>
      </c>
      <c r="D468" s="79"/>
      <c r="E468" s="103">
        <v>0</v>
      </c>
      <c r="F468" s="129" t="s">
        <v>98</v>
      </c>
      <c r="G468" s="303">
        <v>0</v>
      </c>
      <c r="H468" s="305">
        <f t="shared" si="51"/>
        <v>0</v>
      </c>
      <c r="I468" s="306">
        <f t="shared" si="52"/>
        <v>0</v>
      </c>
    </row>
    <row r="469" spans="2:9" x14ac:dyDescent="0.2">
      <c r="B469" s="139" t="s">
        <v>813</v>
      </c>
      <c r="C469" s="126" t="str">
        <f>VLOOKUP(LEFT(B469,3),Parameters!E:F,2,0)</f>
        <v>Overseas Accommodation Allowances</v>
      </c>
      <c r="D469" s="79"/>
      <c r="E469" s="103">
        <v>0</v>
      </c>
      <c r="F469" s="129" t="s">
        <v>98</v>
      </c>
      <c r="G469" s="303">
        <v>0</v>
      </c>
      <c r="H469" s="305">
        <f t="shared" si="51"/>
        <v>0</v>
      </c>
      <c r="I469" s="306">
        <f>ROUND(E469*G469,2)</f>
        <v>0</v>
      </c>
    </row>
    <row r="470" spans="2:9" x14ac:dyDescent="0.2">
      <c r="B470" s="139" t="s">
        <v>815</v>
      </c>
      <c r="C470" s="126" t="str">
        <f>VLOOKUP(LEFT(B470,3),Parameters!E:F,2,0)</f>
        <v>Overseas Per Diems</v>
      </c>
      <c r="D470" s="79"/>
      <c r="E470" s="103">
        <v>0</v>
      </c>
      <c r="F470" s="129" t="s">
        <v>98</v>
      </c>
      <c r="G470" s="303">
        <v>0</v>
      </c>
      <c r="H470" s="305">
        <f t="shared" si="51"/>
        <v>0</v>
      </c>
      <c r="I470" s="306">
        <f>ROUND(E470*G470,2)</f>
        <v>0</v>
      </c>
    </row>
    <row r="471" spans="2:9" x14ac:dyDescent="0.2">
      <c r="B471" s="139" t="s">
        <v>817</v>
      </c>
      <c r="C471" s="126" t="str">
        <f>VLOOKUP(LEFT(B471,3),Parameters!E:F,2,0)</f>
        <v>Overseas Meal Allowances</v>
      </c>
      <c r="D471" s="79"/>
      <c r="E471" s="103">
        <v>0</v>
      </c>
      <c r="F471" s="129" t="s">
        <v>98</v>
      </c>
      <c r="G471" s="303">
        <v>0</v>
      </c>
      <c r="H471" s="305">
        <f t="shared" si="51"/>
        <v>0</v>
      </c>
      <c r="I471" s="306">
        <f>ROUND(E471*G471,2)</f>
        <v>0</v>
      </c>
    </row>
    <row r="472" spans="2:9" x14ac:dyDescent="0.2">
      <c r="B472" s="139" t="s">
        <v>819</v>
      </c>
      <c r="C472" s="126" t="str">
        <f>VLOOKUP(LEFT(B472,3),Parameters!E:F,2,0)</f>
        <v>Overseas Hotel Bills</v>
      </c>
      <c r="D472" s="79"/>
      <c r="E472" s="103">
        <v>0</v>
      </c>
      <c r="F472" s="129" t="s">
        <v>98</v>
      </c>
      <c r="G472" s="303">
        <v>0</v>
      </c>
      <c r="H472" s="305">
        <f t="shared" si="51"/>
        <v>0</v>
      </c>
      <c r="I472" s="306">
        <f t="shared" ref="I472:I478" si="53">ROUND(E472*G472,2)</f>
        <v>0</v>
      </c>
    </row>
    <row r="473" spans="2:9" x14ac:dyDescent="0.2">
      <c r="B473" s="139" t="s">
        <v>821</v>
      </c>
      <c r="C473" s="126" t="str">
        <f>VLOOKUP(LEFT(B473,3),Parameters!E:F,2,0)</f>
        <v>Overseas Meal Bills</v>
      </c>
      <c r="D473" s="79"/>
      <c r="E473" s="103">
        <v>0</v>
      </c>
      <c r="F473" s="129" t="s">
        <v>98</v>
      </c>
      <c r="G473" s="303">
        <v>0</v>
      </c>
      <c r="H473" s="305">
        <f t="shared" si="51"/>
        <v>0</v>
      </c>
      <c r="I473" s="306">
        <f t="shared" si="53"/>
        <v>0</v>
      </c>
    </row>
    <row r="474" spans="2:9" x14ac:dyDescent="0.2">
      <c r="B474" s="139" t="s">
        <v>823</v>
      </c>
      <c r="C474" s="126" t="str">
        <f>VLOOKUP(LEFT(B474,3),Parameters!E:F,2,0)</f>
        <v>Overseas Entertaining &amp; Gratuities</v>
      </c>
      <c r="D474" s="79"/>
      <c r="E474" s="103">
        <v>0</v>
      </c>
      <c r="F474" s="129" t="s">
        <v>98</v>
      </c>
      <c r="G474" s="303">
        <v>0</v>
      </c>
      <c r="H474" s="305">
        <f t="shared" si="51"/>
        <v>0</v>
      </c>
      <c r="I474" s="306">
        <f t="shared" si="53"/>
        <v>0</v>
      </c>
    </row>
    <row r="475" spans="2:9" x14ac:dyDescent="0.2">
      <c r="B475" s="139" t="s">
        <v>825</v>
      </c>
      <c r="C475" s="126" t="str">
        <f>VLOOKUP(LEFT(B475,3),Parameters!E:F,2,0)</f>
        <v>Overseas Other Hotel &amp; Living</v>
      </c>
      <c r="D475" s="79"/>
      <c r="E475" s="103">
        <v>0</v>
      </c>
      <c r="F475" s="129" t="s">
        <v>98</v>
      </c>
      <c r="G475" s="303">
        <v>0</v>
      </c>
      <c r="H475" s="305">
        <f t="shared" si="51"/>
        <v>0</v>
      </c>
      <c r="I475" s="306">
        <f t="shared" si="53"/>
        <v>0</v>
      </c>
    </row>
    <row r="476" spans="2:9" x14ac:dyDescent="0.2">
      <c r="B476" s="139" t="s">
        <v>827</v>
      </c>
      <c r="C476" s="126" t="str">
        <f>VLOOKUP(LEFT(B476,3),Parameters!E:F,2,0)</f>
        <v>Phone Expenses</v>
      </c>
      <c r="D476" s="79"/>
      <c r="E476" s="103">
        <v>0</v>
      </c>
      <c r="F476" s="129" t="s">
        <v>98</v>
      </c>
      <c r="G476" s="303">
        <v>0</v>
      </c>
      <c r="H476" s="305">
        <f t="shared" si="51"/>
        <v>0</v>
      </c>
      <c r="I476" s="306">
        <f t="shared" si="53"/>
        <v>0</v>
      </c>
    </row>
    <row r="477" spans="2:9" x14ac:dyDescent="0.2">
      <c r="B477" s="139" t="s">
        <v>829</v>
      </c>
      <c r="C477" s="126" t="str">
        <f>VLOOKUP(LEFT(B477,3),Parameters!E:F,2,0)</f>
        <v>Awards Ceremonies Hotel &amp; Living</v>
      </c>
      <c r="D477" s="79"/>
      <c r="E477" s="103">
        <v>0</v>
      </c>
      <c r="F477" s="129" t="s">
        <v>98</v>
      </c>
      <c r="G477" s="303">
        <v>0</v>
      </c>
      <c r="H477" s="305">
        <f t="shared" si="51"/>
        <v>0</v>
      </c>
      <c r="I477" s="306">
        <f t="shared" si="53"/>
        <v>0</v>
      </c>
    </row>
    <row r="478" spans="2:9" x14ac:dyDescent="0.2">
      <c r="B478" s="139" t="s">
        <v>831</v>
      </c>
      <c r="C478" s="126" t="str">
        <f>VLOOKUP(LEFT(B478,3),Parameters!E:F,2,0)</f>
        <v>Performers Hotel/living</v>
      </c>
      <c r="D478" s="79"/>
      <c r="E478" s="103">
        <v>0</v>
      </c>
      <c r="F478" s="129" t="s">
        <v>98</v>
      </c>
      <c r="G478" s="303">
        <v>0</v>
      </c>
      <c r="H478" s="305">
        <f t="shared" si="51"/>
        <v>0</v>
      </c>
      <c r="I478" s="306">
        <f t="shared" si="53"/>
        <v>0</v>
      </c>
    </row>
    <row r="479" spans="2:9" x14ac:dyDescent="0.2">
      <c r="B479" s="14" t="str">
        <f>B457&amp;D479</f>
        <v>27Sub-Total</v>
      </c>
      <c r="C479" s="15"/>
      <c r="D479" s="336" t="s">
        <v>907</v>
      </c>
      <c r="E479" s="337"/>
      <c r="F479" s="16"/>
      <c r="G479" s="15"/>
      <c r="H479" s="309">
        <f>SUM(H458:H478)</f>
        <v>0</v>
      </c>
      <c r="I479" s="310">
        <f>SUM(I458:I478)</f>
        <v>0</v>
      </c>
    </row>
    <row r="480" spans="2:9" ht="7.5" customHeight="1" x14ac:dyDescent="0.2">
      <c r="B480" s="2"/>
      <c r="C480" s="4"/>
      <c r="D480" s="4"/>
      <c r="E480" s="4"/>
      <c r="F480" s="4"/>
      <c r="G480" s="4"/>
      <c r="H480" s="5"/>
      <c r="I480" s="28">
        <f>I479</f>
        <v>0</v>
      </c>
    </row>
    <row r="481" spans="2:9" x14ac:dyDescent="0.2">
      <c r="B481" s="22"/>
      <c r="C481" s="8"/>
      <c r="D481" s="167"/>
      <c r="E481" s="17"/>
      <c r="F481" s="17"/>
      <c r="G481" s="18"/>
      <c r="H481" s="93"/>
      <c r="I481" s="27">
        <f>I504</f>
        <v>0</v>
      </c>
    </row>
    <row r="482" spans="2:9" x14ac:dyDescent="0.2">
      <c r="B482" s="23" t="s">
        <v>60</v>
      </c>
      <c r="C482" s="21" t="s">
        <v>61</v>
      </c>
      <c r="D482" s="166"/>
      <c r="E482" s="95"/>
      <c r="F482" s="95"/>
      <c r="G482" s="96"/>
      <c r="H482" s="151">
        <f>IF(H504=0,0,"Ep")</f>
        <v>0</v>
      </c>
      <c r="I482" s="150">
        <f>IF(I504=0,0,"Series")</f>
        <v>0</v>
      </c>
    </row>
    <row r="483" spans="2:9" ht="7.5" customHeight="1" x14ac:dyDescent="0.2">
      <c r="B483" s="175"/>
      <c r="C483" s="91"/>
      <c r="D483" s="16"/>
      <c r="E483" s="20"/>
      <c r="F483" s="20"/>
      <c r="G483" s="15"/>
      <c r="H483" s="176"/>
      <c r="I483" s="29">
        <v>0</v>
      </c>
    </row>
    <row r="484" spans="2:9" x14ac:dyDescent="0.2">
      <c r="B484" s="139" t="s">
        <v>833</v>
      </c>
      <c r="C484" s="136" t="str">
        <f>VLOOKUP(LEFT(B484,3),Parameters!E:F,2,0)</f>
        <v>Prizes</v>
      </c>
      <c r="D484" s="79"/>
      <c r="E484" s="103">
        <v>0</v>
      </c>
      <c r="F484" s="129" t="s">
        <v>98</v>
      </c>
      <c r="G484" s="130">
        <v>0</v>
      </c>
      <c r="H484" s="152">
        <f t="shared" ref="H484:H503" si="54">IF(ISERROR(ROUND(I484/Eps,2)),0,ROUND(I484/Eps,2))</f>
        <v>0</v>
      </c>
      <c r="I484" s="25">
        <f>ROUND(E484*G484,2)</f>
        <v>0</v>
      </c>
    </row>
    <row r="485" spans="2:9" x14ac:dyDescent="0.2">
      <c r="B485" s="139" t="s">
        <v>835</v>
      </c>
      <c r="C485" s="126" t="str">
        <f>VLOOKUP(LEFT(B485,3),Parameters!E:F,2,0)</f>
        <v>Surveys &amp; Opinion Polls</v>
      </c>
      <c r="D485" s="79"/>
      <c r="E485" s="103">
        <v>0</v>
      </c>
      <c r="F485" s="129" t="s">
        <v>98</v>
      </c>
      <c r="G485" s="130">
        <v>0</v>
      </c>
      <c r="H485" s="152">
        <f t="shared" si="54"/>
        <v>0</v>
      </c>
      <c r="I485" s="25">
        <f t="shared" ref="I485:I493" si="55">ROUND(E485*G485,2)</f>
        <v>0</v>
      </c>
    </row>
    <row r="486" spans="2:9" x14ac:dyDescent="0.2">
      <c r="B486" s="139" t="s">
        <v>837</v>
      </c>
      <c r="C486" s="126" t="str">
        <f>VLOOKUP(LEFT(B486,3),Parameters!E:F,2,0)</f>
        <v>Newspapers and Books</v>
      </c>
      <c r="D486" s="79"/>
      <c r="E486" s="103">
        <v>0</v>
      </c>
      <c r="F486" s="129" t="s">
        <v>98</v>
      </c>
      <c r="G486" s="130">
        <v>0</v>
      </c>
      <c r="H486" s="152">
        <f t="shared" si="54"/>
        <v>0</v>
      </c>
      <c r="I486" s="25">
        <f t="shared" si="55"/>
        <v>0</v>
      </c>
    </row>
    <row r="487" spans="2:9" x14ac:dyDescent="0.2">
      <c r="B487" s="139" t="s">
        <v>839</v>
      </c>
      <c r="C487" s="126" t="str">
        <f>VLOOKUP(LEFT(B487,3),Parameters!E:F,2,0)</f>
        <v>Search Engines</v>
      </c>
      <c r="D487" s="79"/>
      <c r="E487" s="103">
        <v>0</v>
      </c>
      <c r="F487" s="129" t="s">
        <v>98</v>
      </c>
      <c r="G487" s="130">
        <v>0</v>
      </c>
      <c r="H487" s="152">
        <f t="shared" si="54"/>
        <v>0</v>
      </c>
      <c r="I487" s="25">
        <f t="shared" si="55"/>
        <v>0</v>
      </c>
    </row>
    <row r="488" spans="2:9" x14ac:dyDescent="0.2">
      <c r="B488" s="139" t="s">
        <v>841</v>
      </c>
      <c r="C488" s="126" t="str">
        <f>VLOOKUP(LEFT(B488,3),Parameters!E:F,2,0)</f>
        <v>Transcriptions &amp; Translations</v>
      </c>
      <c r="D488" s="79"/>
      <c r="E488" s="103">
        <v>0</v>
      </c>
      <c r="F488" s="129" t="s">
        <v>98</v>
      </c>
      <c r="G488" s="130">
        <v>0</v>
      </c>
      <c r="H488" s="152">
        <f t="shared" si="54"/>
        <v>0</v>
      </c>
      <c r="I488" s="25">
        <f t="shared" si="55"/>
        <v>0</v>
      </c>
    </row>
    <row r="489" spans="2:9" x14ac:dyDescent="0.2">
      <c r="B489" s="139" t="s">
        <v>843</v>
      </c>
      <c r="C489" s="126" t="str">
        <f>VLOOKUP(LEFT(B489,3),Parameters!E:F,2,0)</f>
        <v>Recce Costs</v>
      </c>
      <c r="D489" s="79"/>
      <c r="E489" s="103">
        <v>0</v>
      </c>
      <c r="F489" s="129" t="s">
        <v>98</v>
      </c>
      <c r="G489" s="130">
        <v>0</v>
      </c>
      <c r="H489" s="152">
        <f t="shared" si="54"/>
        <v>0</v>
      </c>
      <c r="I489" s="25">
        <f t="shared" si="55"/>
        <v>0</v>
      </c>
    </row>
    <row r="490" spans="2:9" x14ac:dyDescent="0.2">
      <c r="B490" s="139" t="s">
        <v>845</v>
      </c>
      <c r="C490" s="126" t="str">
        <f>VLOOKUP(LEFT(B490,3),Parameters!E:F,2,0)</f>
        <v>Advertising</v>
      </c>
      <c r="D490" s="79"/>
      <c r="E490" s="103">
        <v>0</v>
      </c>
      <c r="F490" s="129" t="s">
        <v>98</v>
      </c>
      <c r="G490" s="130">
        <v>0</v>
      </c>
      <c r="H490" s="152">
        <f t="shared" si="54"/>
        <v>0</v>
      </c>
      <c r="I490" s="25">
        <f t="shared" si="55"/>
        <v>0</v>
      </c>
    </row>
    <row r="491" spans="2:9" x14ac:dyDescent="0.2">
      <c r="B491" s="139" t="s">
        <v>847</v>
      </c>
      <c r="C491" s="126" t="str">
        <f>VLOOKUP(LEFT(B491,3),Parameters!E:F,2,0)</f>
        <v>Cleaning</v>
      </c>
      <c r="D491" s="79"/>
      <c r="E491" s="103">
        <v>0</v>
      </c>
      <c r="F491" s="129" t="s">
        <v>98</v>
      </c>
      <c r="G491" s="130">
        <v>0</v>
      </c>
      <c r="H491" s="152">
        <f t="shared" si="54"/>
        <v>0</v>
      </c>
      <c r="I491" s="25">
        <f t="shared" si="55"/>
        <v>0</v>
      </c>
    </row>
    <row r="492" spans="2:9" x14ac:dyDescent="0.2">
      <c r="B492" s="139" t="s">
        <v>849</v>
      </c>
      <c r="C492" s="126" t="str">
        <f>VLOOKUP(LEFT(B492,3),Parameters!E:F,2,0)</f>
        <v>Stationery</v>
      </c>
      <c r="D492" s="79"/>
      <c r="E492" s="103">
        <v>0</v>
      </c>
      <c r="F492" s="129" t="s">
        <v>98</v>
      </c>
      <c r="G492" s="130">
        <v>0</v>
      </c>
      <c r="H492" s="152">
        <f t="shared" si="54"/>
        <v>0</v>
      </c>
      <c r="I492" s="25">
        <f t="shared" si="55"/>
        <v>0</v>
      </c>
    </row>
    <row r="493" spans="2:9" x14ac:dyDescent="0.2">
      <c r="B493" s="139" t="s">
        <v>851</v>
      </c>
      <c r="C493" s="126" t="str">
        <f>VLOOKUP(LEFT(B493,3),Parameters!E:F,2,0)</f>
        <v>Duplicating / Printing</v>
      </c>
      <c r="D493" s="79"/>
      <c r="E493" s="103">
        <v>0</v>
      </c>
      <c r="F493" s="129" t="s">
        <v>98</v>
      </c>
      <c r="G493" s="130">
        <v>0</v>
      </c>
      <c r="H493" s="152">
        <f t="shared" si="54"/>
        <v>0</v>
      </c>
      <c r="I493" s="25">
        <f t="shared" si="55"/>
        <v>0</v>
      </c>
    </row>
    <row r="494" spans="2:9" x14ac:dyDescent="0.2">
      <c r="B494" s="139" t="s">
        <v>853</v>
      </c>
      <c r="C494" s="126" t="str">
        <f>VLOOKUP(LEFT(B494,3),Parameters!E:F,2,0)</f>
        <v>Office Equipment</v>
      </c>
      <c r="D494" s="79"/>
      <c r="E494" s="103">
        <v>0</v>
      </c>
      <c r="F494" s="129" t="s">
        <v>98</v>
      </c>
      <c r="G494" s="130">
        <v>0</v>
      </c>
      <c r="H494" s="152">
        <f t="shared" si="54"/>
        <v>0</v>
      </c>
      <c r="I494" s="25">
        <f>ROUND(E494*G494,2)</f>
        <v>0</v>
      </c>
    </row>
    <row r="495" spans="2:9" x14ac:dyDescent="0.2">
      <c r="B495" s="139" t="s">
        <v>855</v>
      </c>
      <c r="C495" s="126" t="str">
        <f>VLOOKUP(LEFT(B495,3),Parameters!E:F,2,0)</f>
        <v>Phones / Fax</v>
      </c>
      <c r="D495" s="79"/>
      <c r="E495" s="103">
        <v>0</v>
      </c>
      <c r="F495" s="129" t="s">
        <v>98</v>
      </c>
      <c r="G495" s="130">
        <v>0</v>
      </c>
      <c r="H495" s="152">
        <f t="shared" si="54"/>
        <v>0</v>
      </c>
      <c r="I495" s="25">
        <f>ROUND(E495*G495,2)</f>
        <v>0</v>
      </c>
    </row>
    <row r="496" spans="2:9" x14ac:dyDescent="0.2">
      <c r="B496" s="139" t="s">
        <v>857</v>
      </c>
      <c r="C496" s="126" t="str">
        <f>VLOOKUP(LEFT(B496,3),Parameters!E:F,2,0)</f>
        <v>Mobile Phones</v>
      </c>
      <c r="D496" s="79"/>
      <c r="E496" s="103">
        <v>0</v>
      </c>
      <c r="F496" s="129" t="s">
        <v>98</v>
      </c>
      <c r="G496" s="130">
        <v>0</v>
      </c>
      <c r="H496" s="152">
        <f t="shared" si="54"/>
        <v>0</v>
      </c>
      <c r="I496" s="25">
        <f>ROUND(E496*G496,2)</f>
        <v>0</v>
      </c>
    </row>
    <row r="497" spans="2:9" x14ac:dyDescent="0.2">
      <c r="B497" s="139" t="s">
        <v>859</v>
      </c>
      <c r="C497" s="126" t="str">
        <f>VLOOKUP(LEFT(B497,3),Parameters!E:F,2,0)</f>
        <v>Press / Photography</v>
      </c>
      <c r="D497" s="79"/>
      <c r="E497" s="103">
        <v>0</v>
      </c>
      <c r="F497" s="129" t="s">
        <v>98</v>
      </c>
      <c r="G497" s="130">
        <v>0</v>
      </c>
      <c r="H497" s="152">
        <f t="shared" si="54"/>
        <v>0</v>
      </c>
      <c r="I497" s="25">
        <f t="shared" ref="I497:I503" si="56">ROUND(E497*G497,2)</f>
        <v>0</v>
      </c>
    </row>
    <row r="498" spans="2:9" x14ac:dyDescent="0.2">
      <c r="B498" s="139" t="s">
        <v>861</v>
      </c>
      <c r="C498" s="126" t="str">
        <f>VLOOKUP(LEFT(B498,3),Parameters!E:F,2,0)</f>
        <v>Postage</v>
      </c>
      <c r="D498" s="79"/>
      <c r="E498" s="103">
        <v>0</v>
      </c>
      <c r="F498" s="129" t="s">
        <v>98</v>
      </c>
      <c r="G498" s="130">
        <v>0</v>
      </c>
      <c r="H498" s="152">
        <f t="shared" si="54"/>
        <v>0</v>
      </c>
      <c r="I498" s="25">
        <f t="shared" si="56"/>
        <v>0</v>
      </c>
    </row>
    <row r="499" spans="2:9" x14ac:dyDescent="0.2">
      <c r="B499" s="139" t="s">
        <v>863</v>
      </c>
      <c r="C499" s="126" t="str">
        <f>VLOOKUP(LEFT(B499,3),Parameters!E:F,2,0)</f>
        <v>Press Association Fees</v>
      </c>
      <c r="D499" s="79"/>
      <c r="E499" s="103">
        <v>0</v>
      </c>
      <c r="F499" s="129" t="s">
        <v>98</v>
      </c>
      <c r="G499" s="130">
        <v>0</v>
      </c>
      <c r="H499" s="152">
        <f t="shared" si="54"/>
        <v>0</v>
      </c>
      <c r="I499" s="25">
        <f t="shared" si="56"/>
        <v>0</v>
      </c>
    </row>
    <row r="500" spans="2:9" x14ac:dyDescent="0.2">
      <c r="B500" s="139" t="s">
        <v>865</v>
      </c>
      <c r="C500" s="126" t="str">
        <f>VLOOKUP(LEFT(B500,3),Parameters!E:F,2,0)</f>
        <v>Programme Back-Up</v>
      </c>
      <c r="D500" s="79"/>
      <c r="E500" s="103">
        <v>0</v>
      </c>
      <c r="F500" s="129" t="s">
        <v>98</v>
      </c>
      <c r="G500" s="130">
        <v>0</v>
      </c>
      <c r="H500" s="152">
        <f t="shared" si="54"/>
        <v>0</v>
      </c>
      <c r="I500" s="25">
        <f t="shared" si="56"/>
        <v>0</v>
      </c>
    </row>
    <row r="501" spans="2:9" x14ac:dyDescent="0.2">
      <c r="B501" s="139" t="s">
        <v>867</v>
      </c>
      <c r="C501" s="126" t="str">
        <f>VLOOKUP(LEFT(B501,3),Parameters!E:F,2,0)</f>
        <v>Protective Clothing</v>
      </c>
      <c r="D501" s="79"/>
      <c r="E501" s="103">
        <v>0</v>
      </c>
      <c r="F501" s="129" t="s">
        <v>98</v>
      </c>
      <c r="G501" s="130">
        <v>0</v>
      </c>
      <c r="H501" s="152">
        <f t="shared" si="54"/>
        <v>0</v>
      </c>
      <c r="I501" s="25">
        <f>ROUND(E501*G501,2)</f>
        <v>0</v>
      </c>
    </row>
    <row r="502" spans="2:9" x14ac:dyDescent="0.2">
      <c r="B502" s="139" t="s">
        <v>869</v>
      </c>
      <c r="C502" s="126" t="str">
        <f>VLOOKUP(LEFT(B502,3),Parameters!E:F,2,0)</f>
        <v>Sundries</v>
      </c>
      <c r="D502" s="79"/>
      <c r="E502" s="103">
        <v>0</v>
      </c>
      <c r="F502" s="129" t="s">
        <v>98</v>
      </c>
      <c r="G502" s="130">
        <v>0</v>
      </c>
      <c r="H502" s="152">
        <f t="shared" si="54"/>
        <v>0</v>
      </c>
      <c r="I502" s="25">
        <f>ROUND(E502*G502,2)</f>
        <v>0</v>
      </c>
    </row>
    <row r="503" spans="2:9" x14ac:dyDescent="0.2">
      <c r="B503" s="139" t="s">
        <v>871</v>
      </c>
      <c r="C503" s="126" t="str">
        <f>VLOOKUP(LEFT(B503,3),Parameters!E:F,2,0)</f>
        <v>Newspapers &amp; Magazines - Home Delivery</v>
      </c>
      <c r="D503" s="79"/>
      <c r="E503" s="103">
        <v>0</v>
      </c>
      <c r="F503" s="129" t="s">
        <v>98</v>
      </c>
      <c r="G503" s="130">
        <v>0</v>
      </c>
      <c r="H503" s="152">
        <f t="shared" si="54"/>
        <v>0</v>
      </c>
      <c r="I503" s="25">
        <f t="shared" si="56"/>
        <v>0</v>
      </c>
    </row>
    <row r="504" spans="2:9" x14ac:dyDescent="0.2">
      <c r="B504" s="14" t="str">
        <f>B482&amp;D504</f>
        <v>28Sub-Total</v>
      </c>
      <c r="C504" s="15"/>
      <c r="D504" s="336" t="s">
        <v>907</v>
      </c>
      <c r="E504" s="337"/>
      <c r="F504" s="16"/>
      <c r="G504" s="15"/>
      <c r="H504" s="24">
        <f>SUM(H483:H503)</f>
        <v>0</v>
      </c>
      <c r="I504" s="26">
        <f>SUM(I483:I503)</f>
        <v>0</v>
      </c>
    </row>
    <row r="505" spans="2:9" ht="7.5" customHeight="1" x14ac:dyDescent="0.2">
      <c r="B505" s="2"/>
      <c r="C505" s="4"/>
      <c r="D505" s="4"/>
      <c r="E505" s="4"/>
      <c r="F505" s="4"/>
      <c r="G505" s="4"/>
      <c r="H505" s="5"/>
      <c r="I505" s="28">
        <f>I504</f>
        <v>0</v>
      </c>
    </row>
    <row r="506" spans="2:9" x14ac:dyDescent="0.2">
      <c r="B506" s="22"/>
      <c r="C506" s="8"/>
      <c r="D506" s="167"/>
      <c r="E506" s="17"/>
      <c r="F506" s="17"/>
      <c r="G506" s="18"/>
      <c r="H506" s="93"/>
      <c r="I506" s="27">
        <f>I516</f>
        <v>0</v>
      </c>
    </row>
    <row r="507" spans="2:9" x14ac:dyDescent="0.2">
      <c r="B507" s="23" t="s">
        <v>62</v>
      </c>
      <c r="C507" s="21" t="s">
        <v>948</v>
      </c>
      <c r="D507" s="166"/>
      <c r="E507" s="95"/>
      <c r="F507" s="95"/>
      <c r="G507" s="96"/>
      <c r="H507" s="151">
        <f>IF(H516=0,0,"Ep")</f>
        <v>0</v>
      </c>
      <c r="I507" s="150">
        <f>IF(I516=0,0,"Series")</f>
        <v>0</v>
      </c>
    </row>
    <row r="508" spans="2:9" ht="7.5" customHeight="1" x14ac:dyDescent="0.2">
      <c r="B508" s="175"/>
      <c r="C508" s="91"/>
      <c r="D508" s="16"/>
      <c r="E508" s="20"/>
      <c r="F508" s="20"/>
      <c r="G508" s="15"/>
      <c r="H508" s="176"/>
      <c r="I508" s="29">
        <v>0</v>
      </c>
    </row>
    <row r="509" spans="2:9" x14ac:dyDescent="0.2">
      <c r="B509" s="139" t="s">
        <v>873</v>
      </c>
      <c r="C509" s="136" t="str">
        <f>VLOOKUP(LEFT(B509,3),Parameters!E:F,2,0)</f>
        <v>Insurance</v>
      </c>
      <c r="D509" s="79"/>
      <c r="E509" s="103">
        <v>0</v>
      </c>
      <c r="F509" s="129" t="s">
        <v>98</v>
      </c>
      <c r="G509" s="303">
        <v>0</v>
      </c>
      <c r="H509" s="305">
        <f t="shared" ref="H509:H515" si="57">IF(ISERROR(ROUND(I509/Eps,2)),0,ROUND(I509/Eps,2))</f>
        <v>0</v>
      </c>
      <c r="I509" s="306">
        <f t="shared" ref="I509:I515" si="58">ROUND(E509*G509,2)</f>
        <v>0</v>
      </c>
    </row>
    <row r="510" spans="2:9" x14ac:dyDescent="0.2">
      <c r="B510" s="139" t="s">
        <v>875</v>
      </c>
      <c r="C510" s="126" t="str">
        <f>VLOOKUP(LEFT(B510,3),Parameters!E:F,2,0)</f>
        <v>Legal Fees / Services</v>
      </c>
      <c r="D510" s="79"/>
      <c r="E510" s="103">
        <v>0</v>
      </c>
      <c r="F510" s="129" t="s">
        <v>98</v>
      </c>
      <c r="G510" s="303">
        <v>0</v>
      </c>
      <c r="H510" s="305">
        <f t="shared" si="57"/>
        <v>0</v>
      </c>
      <c r="I510" s="306">
        <f t="shared" si="58"/>
        <v>0</v>
      </c>
    </row>
    <row r="511" spans="2:9" x14ac:dyDescent="0.2">
      <c r="B511" s="139" t="s">
        <v>877</v>
      </c>
      <c r="C511" s="126" t="str">
        <f>VLOOKUP(LEFT(B511,3),Parameters!E:F,2,0)</f>
        <v>Compliance Costs</v>
      </c>
      <c r="D511" s="79"/>
      <c r="E511" s="103">
        <v>0</v>
      </c>
      <c r="F511" s="129" t="s">
        <v>98</v>
      </c>
      <c r="G511" s="303">
        <v>0</v>
      </c>
      <c r="H511" s="305">
        <f t="shared" si="57"/>
        <v>0</v>
      </c>
      <c r="I511" s="306">
        <f t="shared" si="58"/>
        <v>0</v>
      </c>
    </row>
    <row r="512" spans="2:9" x14ac:dyDescent="0.2">
      <c r="B512" s="139" t="s">
        <v>879</v>
      </c>
      <c r="C512" s="126" t="str">
        <f>VLOOKUP(LEFT(B512,3),Parameters!E:F,2,0)</f>
        <v>Neg Checking</v>
      </c>
      <c r="D512" s="79"/>
      <c r="E512" s="103">
        <v>0</v>
      </c>
      <c r="F512" s="129" t="s">
        <v>98</v>
      </c>
      <c r="G512" s="303">
        <v>0</v>
      </c>
      <c r="H512" s="305">
        <f t="shared" si="57"/>
        <v>0</v>
      </c>
      <c r="I512" s="306">
        <f t="shared" si="58"/>
        <v>0</v>
      </c>
    </row>
    <row r="513" spans="2:9" x14ac:dyDescent="0.2">
      <c r="B513" s="139" t="s">
        <v>881</v>
      </c>
      <c r="C513" s="126" t="str">
        <f>VLOOKUP(LEFT(B513,3),Parameters!E:F,2,0)</f>
        <v>Budget Preparation</v>
      </c>
      <c r="D513" s="79"/>
      <c r="E513" s="103"/>
      <c r="F513" s="129" t="s">
        <v>98</v>
      </c>
      <c r="G513" s="303"/>
      <c r="H513" s="305">
        <f t="shared" si="57"/>
        <v>0</v>
      </c>
      <c r="I513" s="306">
        <f t="shared" si="58"/>
        <v>0</v>
      </c>
    </row>
    <row r="514" spans="2:9" x14ac:dyDescent="0.2">
      <c r="B514" s="139" t="s">
        <v>883</v>
      </c>
      <c r="C514" s="126" t="str">
        <f>VLOOKUP(LEFT(B514,3),Parameters!E:F,2,0)</f>
        <v>Rebate Processing</v>
      </c>
      <c r="D514" s="79"/>
      <c r="E514" s="103">
        <v>0</v>
      </c>
      <c r="F514" s="129" t="s">
        <v>98</v>
      </c>
      <c r="G514" s="303">
        <v>0</v>
      </c>
      <c r="H514" s="305">
        <f t="shared" si="57"/>
        <v>0</v>
      </c>
      <c r="I514" s="306">
        <f t="shared" si="58"/>
        <v>0</v>
      </c>
    </row>
    <row r="515" spans="2:9" x14ac:dyDescent="0.2">
      <c r="B515" s="139" t="s">
        <v>885</v>
      </c>
      <c r="C515" s="126" t="str">
        <f>VLOOKUP(LEFT(B515,3),Parameters!E:F,2,0)</f>
        <v>Interest Charges / Cost Of Money</v>
      </c>
      <c r="D515" s="79"/>
      <c r="E515" s="103">
        <v>0</v>
      </c>
      <c r="F515" s="129" t="s">
        <v>98</v>
      </c>
      <c r="G515" s="303">
        <v>0</v>
      </c>
      <c r="H515" s="305">
        <f t="shared" si="57"/>
        <v>0</v>
      </c>
      <c r="I515" s="306">
        <f t="shared" si="58"/>
        <v>0</v>
      </c>
    </row>
    <row r="516" spans="2:9" x14ac:dyDescent="0.2">
      <c r="B516" s="14" t="str">
        <f>B507&amp;D516</f>
        <v>29Sub-Total</v>
      </c>
      <c r="C516" s="15"/>
      <c r="D516" s="336" t="s">
        <v>907</v>
      </c>
      <c r="E516" s="337"/>
      <c r="F516" s="16"/>
      <c r="G516" s="15"/>
      <c r="H516" s="309">
        <f>SUM(H508:H515)</f>
        <v>0</v>
      </c>
      <c r="I516" s="310">
        <f>SUM(I508:I515)</f>
        <v>0</v>
      </c>
    </row>
    <row r="517" spans="2:9" ht="7.5" customHeight="1" x14ac:dyDescent="0.2">
      <c r="B517" s="2"/>
      <c r="C517" s="4"/>
      <c r="D517" s="4"/>
      <c r="E517" s="4"/>
      <c r="F517" s="4"/>
      <c r="G517" s="4"/>
      <c r="H517" s="5"/>
      <c r="I517" s="28">
        <f>I516</f>
        <v>0</v>
      </c>
    </row>
    <row r="518" spans="2:9" x14ac:dyDescent="0.2">
      <c r="B518" s="22"/>
      <c r="C518" s="8"/>
      <c r="D518" s="167"/>
      <c r="E518" s="17"/>
      <c r="F518" s="17"/>
      <c r="G518" s="18"/>
      <c r="H518" s="93"/>
      <c r="I518" s="27">
        <f>I529</f>
        <v>0</v>
      </c>
    </row>
    <row r="519" spans="2:9" x14ac:dyDescent="0.2">
      <c r="B519" s="23" t="s">
        <v>64</v>
      </c>
      <c r="C519" s="21" t="s">
        <v>65</v>
      </c>
      <c r="D519" s="166"/>
      <c r="E519" s="95"/>
      <c r="F519" s="95"/>
      <c r="G519" s="96"/>
      <c r="H519" s="151">
        <f>IF(H529=0,0,"Ep")</f>
        <v>0</v>
      </c>
      <c r="I519" s="150">
        <f>IF(I529=0,0,"Series")</f>
        <v>0</v>
      </c>
    </row>
    <row r="520" spans="2:9" ht="7.5" customHeight="1" x14ac:dyDescent="0.2">
      <c r="B520" s="175"/>
      <c r="C520" s="91"/>
      <c r="D520" s="16"/>
      <c r="E520" s="20"/>
      <c r="F520" s="20"/>
      <c r="G520" s="15"/>
      <c r="H520" s="176"/>
      <c r="I520" s="29">
        <v>0</v>
      </c>
    </row>
    <row r="521" spans="2:9" x14ac:dyDescent="0.2">
      <c r="B521" s="139" t="s">
        <v>887</v>
      </c>
      <c r="C521" s="136" t="str">
        <f>VLOOKUP(LEFT(B521,3),Parameters!E:F,2,0)</f>
        <v>Production Office</v>
      </c>
      <c r="D521" s="79"/>
      <c r="E521" s="103">
        <v>0</v>
      </c>
      <c r="F521" s="129" t="s">
        <v>98</v>
      </c>
      <c r="G521" s="303">
        <v>0</v>
      </c>
      <c r="H521" s="305">
        <f t="shared" ref="H521:H528" si="59">IF(ISERROR(ROUND(I521/Eps,2)),0,ROUND(I521/Eps,2))</f>
        <v>0</v>
      </c>
      <c r="I521" s="306">
        <f>ROUND(E521*G521,2)</f>
        <v>0</v>
      </c>
    </row>
    <row r="522" spans="2:9" x14ac:dyDescent="0.2">
      <c r="B522" s="139" t="s">
        <v>889</v>
      </c>
      <c r="C522" s="126" t="str">
        <f>VLOOKUP(LEFT(B522,3),Parameters!E:F,2,0)</f>
        <v>Computer Services / IT Support</v>
      </c>
      <c r="D522" s="79"/>
      <c r="E522" s="103">
        <v>0</v>
      </c>
      <c r="F522" s="129" t="s">
        <v>98</v>
      </c>
      <c r="G522" s="303">
        <v>0</v>
      </c>
      <c r="H522" s="305">
        <f t="shared" si="59"/>
        <v>0</v>
      </c>
      <c r="I522" s="306">
        <f>ROUND(E522*G522,2)</f>
        <v>0</v>
      </c>
    </row>
    <row r="523" spans="2:9" x14ac:dyDescent="0.2">
      <c r="B523" s="139" t="s">
        <v>891</v>
      </c>
      <c r="C523" s="126" t="str">
        <f>VLOOKUP(LEFT(B523,3),Parameters!E:F,2,0)</f>
        <v>Financial Processing / Wages / Banking</v>
      </c>
      <c r="D523" s="79"/>
      <c r="E523" s="103">
        <v>0</v>
      </c>
      <c r="F523" s="129" t="s">
        <v>98</v>
      </c>
      <c r="G523" s="303">
        <v>0</v>
      </c>
      <c r="H523" s="305">
        <f t="shared" si="59"/>
        <v>0</v>
      </c>
      <c r="I523" s="306">
        <f t="shared" ref="I523:I528" si="60">ROUND(E523*G523,2)</f>
        <v>0</v>
      </c>
    </row>
    <row r="524" spans="2:9" x14ac:dyDescent="0.2">
      <c r="B524" s="139" t="s">
        <v>893</v>
      </c>
      <c r="C524" s="126" t="str">
        <f>VLOOKUP(LEFT(B524,3),Parameters!E:F,2,0)</f>
        <v>Production Audit</v>
      </c>
      <c r="D524" s="79"/>
      <c r="E524" s="103">
        <v>0</v>
      </c>
      <c r="F524" s="129" t="s">
        <v>98</v>
      </c>
      <c r="G524" s="303">
        <v>0</v>
      </c>
      <c r="H524" s="305">
        <f t="shared" si="59"/>
        <v>0</v>
      </c>
      <c r="I524" s="306">
        <f t="shared" si="60"/>
        <v>0</v>
      </c>
    </row>
    <row r="525" spans="2:9" x14ac:dyDescent="0.2">
      <c r="B525" s="139" t="s">
        <v>895</v>
      </c>
      <c r="C525" s="126" t="str">
        <f>VLOOKUP(LEFT(B525,3),Parameters!E:F,2,0)</f>
        <v>Production Contracts</v>
      </c>
      <c r="D525" s="79"/>
      <c r="E525" s="103">
        <v>0</v>
      </c>
      <c r="F525" s="129" t="s">
        <v>98</v>
      </c>
      <c r="G525" s="303">
        <v>0</v>
      </c>
      <c r="H525" s="305">
        <f t="shared" si="59"/>
        <v>0</v>
      </c>
      <c r="I525" s="306">
        <f t="shared" si="60"/>
        <v>0</v>
      </c>
    </row>
    <row r="526" spans="2:9" x14ac:dyDescent="0.2">
      <c r="B526" s="139" t="s">
        <v>950</v>
      </c>
      <c r="C526" s="126" t="str">
        <f>VLOOKUP(LEFT(B526,3),Parameters!E:F,2,0)</f>
        <v>Miscellaneous Overheads</v>
      </c>
      <c r="D526" s="79"/>
      <c r="E526" s="103">
        <v>0</v>
      </c>
      <c r="F526" s="129" t="s">
        <v>98</v>
      </c>
      <c r="G526" s="303">
        <v>0</v>
      </c>
      <c r="H526" s="305">
        <f t="shared" si="59"/>
        <v>0</v>
      </c>
      <c r="I526" s="306">
        <f t="shared" si="60"/>
        <v>0</v>
      </c>
    </row>
    <row r="527" spans="2:9" x14ac:dyDescent="0.2">
      <c r="B527" s="139" t="s">
        <v>899</v>
      </c>
      <c r="C527" s="126" t="str">
        <f>VLOOKUP(LEFT(B527,3),Parameters!E:F,2,0)</f>
        <v>PACT Levy</v>
      </c>
      <c r="D527" s="79"/>
      <c r="E527" s="103">
        <v>0</v>
      </c>
      <c r="F527" s="129" t="s">
        <v>98</v>
      </c>
      <c r="G527" s="303">
        <v>0</v>
      </c>
      <c r="H527" s="305">
        <f t="shared" si="59"/>
        <v>0</v>
      </c>
      <c r="I527" s="306">
        <f t="shared" si="60"/>
        <v>0</v>
      </c>
    </row>
    <row r="528" spans="2:9" x14ac:dyDescent="0.2">
      <c r="B528" s="143" t="s">
        <v>949</v>
      </c>
      <c r="C528" s="122" t="str">
        <f>VLOOKUP(LEFT(B528,3),Parameters!E:F,2,0)</f>
        <v>Miscellaneous Overheads</v>
      </c>
      <c r="D528" s="144" t="s">
        <v>951</v>
      </c>
      <c r="E528" s="145">
        <f>ROUND((Eps*Totals!E11)/60,1)</f>
        <v>0</v>
      </c>
      <c r="F528" s="146" t="s">
        <v>952</v>
      </c>
      <c r="G528" s="313">
        <v>1500</v>
      </c>
      <c r="H528" s="305">
        <f t="shared" si="59"/>
        <v>0</v>
      </c>
      <c r="I528" s="306">
        <f t="shared" si="60"/>
        <v>0</v>
      </c>
    </row>
    <row r="529" spans="2:9" x14ac:dyDescent="0.2">
      <c r="B529" s="14" t="str">
        <f>B519&amp;D529</f>
        <v>30Sub-Total</v>
      </c>
      <c r="C529" s="15"/>
      <c r="D529" s="336" t="s">
        <v>907</v>
      </c>
      <c r="E529" s="337"/>
      <c r="F529" s="16"/>
      <c r="G529" s="15"/>
      <c r="H529" s="309">
        <f>SUM(H520:H528)</f>
        <v>0</v>
      </c>
      <c r="I529" s="310">
        <f>SUM(I520:I528)</f>
        <v>0</v>
      </c>
    </row>
    <row r="530" spans="2:9" ht="7.5" customHeight="1" x14ac:dyDescent="0.2">
      <c r="B530" s="2"/>
      <c r="C530" s="4"/>
      <c r="D530" s="4"/>
      <c r="E530" s="4"/>
      <c r="F530" s="4"/>
      <c r="G530" s="4"/>
      <c r="H530" s="5"/>
      <c r="I530" s="28">
        <f>I529</f>
        <v>0</v>
      </c>
    </row>
    <row r="531" spans="2:9" x14ac:dyDescent="0.2">
      <c r="B531" s="22"/>
      <c r="C531" s="8"/>
      <c r="D531" s="167"/>
      <c r="E531" s="17"/>
      <c r="F531" s="17"/>
      <c r="G531" s="18"/>
      <c r="H531" s="93"/>
      <c r="I531" s="27">
        <f>I536</f>
        <v>0</v>
      </c>
    </row>
    <row r="532" spans="2:9" x14ac:dyDescent="0.2">
      <c r="B532" s="23" t="s">
        <v>66</v>
      </c>
      <c r="C532" s="21" t="s">
        <v>67</v>
      </c>
      <c r="D532" s="166"/>
      <c r="E532" s="95"/>
      <c r="F532" s="95"/>
      <c r="G532" s="96"/>
      <c r="H532" s="151">
        <f>IF(H536=0,0,"Ep")</f>
        <v>0</v>
      </c>
      <c r="I532" s="150">
        <f>IF(I536=0,0,"Series")</f>
        <v>0</v>
      </c>
    </row>
    <row r="533" spans="2:9" ht="7.5" customHeight="1" x14ac:dyDescent="0.2">
      <c r="B533" s="175"/>
      <c r="C533" s="91"/>
      <c r="D533" s="16"/>
      <c r="E533" s="20"/>
      <c r="F533" s="20"/>
      <c r="G533" s="15"/>
      <c r="H533" s="176"/>
      <c r="I533" s="29">
        <v>0</v>
      </c>
    </row>
    <row r="534" spans="2:9" x14ac:dyDescent="0.2">
      <c r="B534" s="139" t="s">
        <v>901</v>
      </c>
      <c r="C534" s="136" t="str">
        <f>VLOOKUP(LEFT(B534,3),Parameters!E:F,2,0)</f>
        <v>Theatre Hire</v>
      </c>
      <c r="D534" s="79"/>
      <c r="E534" s="103">
        <v>0</v>
      </c>
      <c r="F534" s="129" t="s">
        <v>98</v>
      </c>
      <c r="G534" s="303">
        <v>0</v>
      </c>
      <c r="H534" s="305">
        <f>IF(ISERROR(ROUND(I534/Eps,2)),0,ROUND(I534/Eps,2))</f>
        <v>0</v>
      </c>
      <c r="I534" s="306">
        <f>ROUND(E534*G534,2)</f>
        <v>0</v>
      </c>
    </row>
    <row r="535" spans="2:9" x14ac:dyDescent="0.2">
      <c r="B535" s="139" t="s">
        <v>903</v>
      </c>
      <c r="C535" s="126" t="str">
        <f>VLOOKUP(LEFT(B535,3),Parameters!E:F,2,0)</f>
        <v>Theatre Contras</v>
      </c>
      <c r="D535" s="79"/>
      <c r="E535" s="103">
        <v>0</v>
      </c>
      <c r="F535" s="129" t="s">
        <v>98</v>
      </c>
      <c r="G535" s="303">
        <v>0</v>
      </c>
      <c r="H535" s="305">
        <f>IF(ISERROR(ROUND(I535/Eps,2)),0,ROUND(I535/Eps,2))</f>
        <v>0</v>
      </c>
      <c r="I535" s="306">
        <f>ROUND(E535*G535,2)</f>
        <v>0</v>
      </c>
    </row>
    <row r="536" spans="2:9" x14ac:dyDescent="0.2">
      <c r="B536" s="14" t="str">
        <f>B532&amp;D536</f>
        <v>31Sub-Total</v>
      </c>
      <c r="C536" s="15"/>
      <c r="D536" s="336" t="s">
        <v>907</v>
      </c>
      <c r="E536" s="337"/>
      <c r="F536" s="16"/>
      <c r="G536" s="15"/>
      <c r="H536" s="309">
        <f>SUM(H533:H535)</f>
        <v>0</v>
      </c>
      <c r="I536" s="310">
        <f>SUM(I533:I535)</f>
        <v>0</v>
      </c>
    </row>
    <row r="537" spans="2:9" ht="7.5" customHeight="1" x14ac:dyDescent="0.2">
      <c r="B537" s="2"/>
      <c r="C537" s="4"/>
      <c r="D537" s="4"/>
      <c r="E537" s="4"/>
      <c r="F537" s="4"/>
      <c r="G537" s="4"/>
      <c r="H537" s="5"/>
      <c r="I537" s="28">
        <f>I536</f>
        <v>0</v>
      </c>
    </row>
    <row r="538" spans="2:9" x14ac:dyDescent="0.2">
      <c r="B538" s="22"/>
      <c r="C538" s="8"/>
      <c r="D538" s="167"/>
      <c r="E538" s="17"/>
      <c r="F538" s="17"/>
      <c r="G538" s="18"/>
      <c r="H538" s="93"/>
      <c r="I538" s="27">
        <f>I542</f>
        <v>0</v>
      </c>
    </row>
    <row r="539" spans="2:9" x14ac:dyDescent="0.2">
      <c r="B539" s="23" t="s">
        <v>68</v>
      </c>
      <c r="C539" s="21" t="s">
        <v>69</v>
      </c>
      <c r="D539" s="166"/>
      <c r="E539" s="95"/>
      <c r="F539" s="95"/>
      <c r="G539" s="96"/>
      <c r="H539" s="151">
        <f>IF(H542=0,0,"Ep")</f>
        <v>0</v>
      </c>
      <c r="I539" s="150">
        <f>IF(I542=0,0,"Series")</f>
        <v>0</v>
      </c>
    </row>
    <row r="540" spans="2:9" ht="7.5" customHeight="1" x14ac:dyDescent="0.2">
      <c r="B540" s="175"/>
      <c r="C540" s="91"/>
      <c r="D540" s="16"/>
      <c r="E540" s="20"/>
      <c r="F540" s="20"/>
      <c r="G540" s="15"/>
      <c r="H540" s="176"/>
      <c r="I540" s="29">
        <v>0</v>
      </c>
    </row>
    <row r="541" spans="2:9" x14ac:dyDescent="0.2">
      <c r="B541" s="139" t="s">
        <v>905</v>
      </c>
      <c r="C541" s="136" t="str">
        <f>VLOOKUP(LEFT(B541,3),Parameters!E:F,2,0)</f>
        <v>Contingency</v>
      </c>
      <c r="D541" s="79"/>
      <c r="E541" s="103">
        <v>0</v>
      </c>
      <c r="F541" s="129" t="s">
        <v>98</v>
      </c>
      <c r="G541" s="303">
        <v>0</v>
      </c>
      <c r="H541" s="305">
        <f>IF(ISERROR(ROUND(I541/Eps,2)),0,ROUND(I541/Eps,2))</f>
        <v>0</v>
      </c>
      <c r="I541" s="306">
        <f>ROUND(E541*G541,2)</f>
        <v>0</v>
      </c>
    </row>
    <row r="542" spans="2:9" x14ac:dyDescent="0.2">
      <c r="B542" s="14" t="str">
        <f>B539&amp;D542</f>
        <v>32Sub-Total</v>
      </c>
      <c r="C542" s="15"/>
      <c r="D542" s="336" t="s">
        <v>907</v>
      </c>
      <c r="E542" s="337"/>
      <c r="F542" s="16"/>
      <c r="G542" s="15"/>
      <c r="H542" s="309">
        <f>SUM(H540:H541)</f>
        <v>0</v>
      </c>
      <c r="I542" s="310">
        <f>SUM(I540:I541)</f>
        <v>0</v>
      </c>
    </row>
    <row r="543" spans="2:9" x14ac:dyDescent="0.2">
      <c r="B543" s="2"/>
      <c r="C543" s="4"/>
      <c r="D543" s="4"/>
      <c r="E543" s="4"/>
      <c r="F543" s="4"/>
      <c r="G543" s="4"/>
      <c r="H543" s="5"/>
      <c r="I543" s="3"/>
    </row>
    <row r="544" spans="2:9" x14ac:dyDescent="0.2">
      <c r="B544" s="338" t="str">
        <f>"GRAND TOTAL "&amp;Currency</f>
        <v>GRAND TOTAL £</v>
      </c>
      <c r="C544" s="339"/>
      <c r="D544" s="339"/>
      <c r="E544" s="339"/>
      <c r="F544" s="339"/>
      <c r="G544" s="340"/>
      <c r="H544" s="344">
        <f>SUMIF($D$1:$D$543,"Sub-Total",H$1:H$543)</f>
        <v>0</v>
      </c>
      <c r="I544" s="334">
        <f>SUMIF($D$1:$D$543,"Sub-Total",I$1:I$543)</f>
        <v>0</v>
      </c>
    </row>
    <row r="545" spans="2:9" x14ac:dyDescent="0.2">
      <c r="B545" s="341"/>
      <c r="C545" s="342"/>
      <c r="D545" s="342"/>
      <c r="E545" s="342"/>
      <c r="F545" s="342"/>
      <c r="G545" s="343"/>
      <c r="H545" s="345"/>
      <c r="I545" s="335"/>
    </row>
    <row r="546" spans="2:9" x14ac:dyDescent="0.2">
      <c r="B546" s="2"/>
      <c r="C546" s="4"/>
      <c r="D546" s="4"/>
      <c r="E546" s="4"/>
      <c r="F546" s="4"/>
      <c r="G546" s="173" t="str">
        <f>IF(AND(H546=0,I546=0),"","Check against Totals page - values do not match")</f>
        <v/>
      </c>
      <c r="H546" s="170">
        <f>Totals!F53-H544</f>
        <v>0</v>
      </c>
      <c r="I546" s="171">
        <f>Totals!G53-I544</f>
        <v>0</v>
      </c>
    </row>
    <row r="547" spans="2:9" ht="13.5" thickBot="1" x14ac:dyDescent="0.25">
      <c r="B547" s="6"/>
      <c r="C547" s="7"/>
      <c r="D547" s="7"/>
      <c r="E547" s="7"/>
      <c r="F547" s="7"/>
      <c r="G547" s="172"/>
      <c r="H547" s="153"/>
      <c r="I547" s="147"/>
    </row>
  </sheetData>
  <sheetProtection sheet="1" objects="1" scenarios="1" formatCells="0" formatColumns="0" formatRows="0"/>
  <autoFilter ref="B5:I547"/>
  <mergeCells count="35">
    <mergeCell ref="D379:E379"/>
    <mergeCell ref="D301:E301"/>
    <mergeCell ref="D20:E20"/>
    <mergeCell ref="D29:E29"/>
    <mergeCell ref="D53:E53"/>
    <mergeCell ref="D67:E67"/>
    <mergeCell ref="D334:E334"/>
    <mergeCell ref="D326:E326"/>
    <mergeCell ref="D202:E202"/>
    <mergeCell ref="D221:E221"/>
    <mergeCell ref="D235:E235"/>
    <mergeCell ref="D264:E264"/>
    <mergeCell ref="D76:E76"/>
    <mergeCell ref="D88:E88"/>
    <mergeCell ref="D105:E105"/>
    <mergeCell ref="D116:E116"/>
    <mergeCell ref="D349:E349"/>
    <mergeCell ref="D129:E129"/>
    <mergeCell ref="D157:E157"/>
    <mergeCell ref="D174:E174"/>
    <mergeCell ref="D185:E185"/>
    <mergeCell ref="D275:E275"/>
    <mergeCell ref="D390:E390"/>
    <mergeCell ref="D402:E402"/>
    <mergeCell ref="D420:E420"/>
    <mergeCell ref="D454:E454"/>
    <mergeCell ref="D479:E479"/>
    <mergeCell ref="I544:I545"/>
    <mergeCell ref="D504:E504"/>
    <mergeCell ref="D516:E516"/>
    <mergeCell ref="D529:E529"/>
    <mergeCell ref="D536:E536"/>
    <mergeCell ref="D542:E542"/>
    <mergeCell ref="B544:G545"/>
    <mergeCell ref="H544:H545"/>
  </mergeCells>
  <phoneticPr fontId="7" type="noConversion"/>
  <conditionalFormatting sqref="H539:I539 H532:I532 H519:I519 H507:I507 H423:I423 H457:I457 H482:I482 H405:I405 H393:I393 H352:I352 H382:I382 H337:I337 H91:I91 H23:I23 H32:I32 H56:I56 H70:I70 H79:I79 H108:I108 H119:I119 H132:I132 H160:I160 H177:I177 H188:I188 H205:I205 H224:I224 H238:I238 H267:I267 H278:I278 H304:I304 H329:I329 H546:I547 H7:I7">
    <cfRule type="cellIs" dxfId="5" priority="1" stopIfTrue="1" operator="equal">
      <formula>0</formula>
    </cfRule>
  </conditionalFormatting>
  <dataValidations count="1">
    <dataValidation type="list" allowBlank="1" showInputMessage="1" showErrorMessage="1" sqref="F541 F534:F535 F407:F419 F459:F478 F269:F274 F395:F401 F354:F378 F331:F333 F306:F325 F9:F19 F207:F220 F226:F234 F34:F52 F190:F201 F162:F173 F134:F156 F121:F128 F110:F115 F280:F300 F58:F66 F72:F75 F25:F28 F521:F528 F93:F104 F179:F184 F339:F348 F81:F87 F384:F389 F484:F503 F240:F263 F509:F515 F425:F453">
      <formula1>"Mins, Hours, Days, Weeks, Months, Occ, Shows, Tapes, Eps"</formula1>
    </dataValidation>
  </dataValidations>
  <hyperlinks>
    <hyperlink ref="D23" location="Personnel!C14" display="Update Personnel"/>
    <hyperlink ref="D70" location="Personnel!C35" display="Update Personnel"/>
    <hyperlink ref="D79" location="Crew!C13" display="Update Crew"/>
    <hyperlink ref="D91" location="Crew!C27" display="Update Crew"/>
    <hyperlink ref="D108" location="Crew!C46" display="Update Crew"/>
    <hyperlink ref="D119" location="Crew!C59" display="Update Crew"/>
    <hyperlink ref="D132" location="Crew!C74" display="Update Crew"/>
    <hyperlink ref="D160" location="Crew!C104" display="Update Crew"/>
    <hyperlink ref="D177" location="Crew!C123" display="Update Crew"/>
    <hyperlink ref="D188" location="Crew!C136" display="Update Crew"/>
    <hyperlink ref="B1" location="Totals!E8" display="Back to Totals Page"/>
  </hyperlinks>
  <pageMargins left="0.75" right="0.75" top="1" bottom="1" header="0.5" footer="0.5"/>
  <pageSetup paperSize="9" scale="54" fitToHeight="5" orientation="portrait" r:id="rId1"/>
  <headerFooter alignWithMargins="0"/>
  <rowBreaks count="4" manualBreakCount="4">
    <brk id="106" max="9" man="1"/>
    <brk id="221" max="9" man="1"/>
    <brk id="335" max="9" man="1"/>
    <brk id="454" max="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5" r:id="rId4" name="Button 47">
              <controlPr defaultSize="0" print="0" autoFill="0" autoPict="0" macro="[0]!PrintDetail">
                <anchor moveWithCells="1" sizeWithCells="1">
                  <from>
                    <xdr:col>1</xdr:col>
                    <xdr:colOff>0</xdr:colOff>
                    <xdr:row>1</xdr:row>
                    <xdr:rowOff>66675</xdr:rowOff>
                  </from>
                  <to>
                    <xdr:col>2</xdr:col>
                    <xdr:colOff>771525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" name="Button 56">
              <controlPr defaultSize="0" print="0" autoFill="0" autoPict="0" macro="[0]!FilterOn">
                <anchor moveWithCells="1" sizeWithCells="1">
                  <from>
                    <xdr:col>3</xdr:col>
                    <xdr:colOff>2943225</xdr:colOff>
                    <xdr:row>0</xdr:row>
                    <xdr:rowOff>66675</xdr:rowOff>
                  </from>
                  <to>
                    <xdr:col>5</xdr:col>
                    <xdr:colOff>38100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" name="Button 57">
              <controlPr defaultSize="0" print="0" autoFill="0" autoPict="0" macro="[0]!FilterOff">
                <anchor moveWithCells="1" sizeWithCells="1">
                  <from>
                    <xdr:col>5</xdr:col>
                    <xdr:colOff>171450</xdr:colOff>
                    <xdr:row>0</xdr:row>
                    <xdr:rowOff>66675</xdr:rowOff>
                  </from>
                  <to>
                    <xdr:col>6</xdr:col>
                    <xdr:colOff>228600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7" name="Button 59">
              <controlPr defaultSize="0" print="0" autoFill="0" autoPict="0" macro="[0]!InsertRow">
                <anchor moveWithCells="1" sizeWithCells="1">
                  <from>
                    <xdr:col>10</xdr:col>
                    <xdr:colOff>19050</xdr:colOff>
                    <xdr:row>0</xdr:row>
                    <xdr:rowOff>47625</xdr:rowOff>
                  </from>
                  <to>
                    <xdr:col>12</xdr:col>
                    <xdr:colOff>9525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8" name="Button 60">
              <controlPr defaultSize="0" print="0" autoFill="0" autoPict="0" macro="[0]!DeleteRow">
                <anchor moveWithCells="1" sizeWithCells="1">
                  <from>
                    <xdr:col>10</xdr:col>
                    <xdr:colOff>19050</xdr:colOff>
                    <xdr:row>3</xdr:row>
                    <xdr:rowOff>47625</xdr:rowOff>
                  </from>
                  <to>
                    <xdr:col>12</xdr:col>
                    <xdr:colOff>9525</xdr:colOff>
                    <xdr:row>4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B76"/>
  <sheetViews>
    <sheetView showGridLines="0" zoomScale="80" zoomScaleNormal="80" workbookViewId="0">
      <pane xSplit="4" ySplit="12" topLeftCell="E13" activePane="bottomRight" state="frozen"/>
      <selection pane="topRight" activeCell="E1" sqref="E1"/>
      <selection pane="bottomLeft" activeCell="A6" sqref="A6"/>
      <selection pane="bottomRight" activeCell="D17" sqref="D17"/>
    </sheetView>
  </sheetViews>
  <sheetFormatPr defaultRowHeight="12.75" x14ac:dyDescent="0.2"/>
  <cols>
    <col min="1" max="1" width="8.140625" style="45" customWidth="1"/>
    <col min="2" max="2" width="10.28515625" style="45" customWidth="1"/>
    <col min="3" max="3" width="26" style="45" customWidth="1"/>
    <col min="4" max="4" width="19.7109375" style="45" customWidth="1"/>
    <col min="5" max="5" width="12.85546875" style="45" customWidth="1"/>
    <col min="6" max="6" width="12.42578125" style="45" bestFit="1" customWidth="1"/>
    <col min="7" max="7" width="9.140625" style="45"/>
    <col min="8" max="8" width="10.28515625" style="45" customWidth="1"/>
    <col min="9" max="10" width="6.85546875" style="45" customWidth="1"/>
    <col min="11" max="11" width="10.5703125" style="45" bestFit="1" customWidth="1"/>
    <col min="12" max="12" width="9.28515625" style="45" customWidth="1"/>
    <col min="13" max="13" width="9.5703125" style="45" bestFit="1" customWidth="1"/>
    <col min="14" max="14" width="9.28515625" style="45" customWidth="1"/>
    <col min="15" max="15" width="10.5703125" style="45" bestFit="1" customWidth="1"/>
    <col min="16" max="16" width="1" style="77" customWidth="1"/>
    <col min="17" max="17" width="12.140625" style="77" customWidth="1"/>
    <col min="18" max="18" width="12.140625" style="45" customWidth="1"/>
    <col min="19" max="19" width="1" style="77" customWidth="1"/>
    <col min="20" max="20" width="13" style="45" customWidth="1"/>
    <col min="21" max="21" width="1" style="77" customWidth="1"/>
    <col min="22" max="22" width="13" style="45" customWidth="1"/>
    <col min="23" max="23" width="1" style="77" customWidth="1"/>
    <col min="24" max="24" width="13" style="45" customWidth="1"/>
    <col min="25" max="25" width="1" style="77" customWidth="1"/>
    <col min="26" max="26" width="13" style="45" customWidth="1"/>
    <col min="27" max="27" width="1" style="77" customWidth="1"/>
    <col min="28" max="28" width="13" style="45" customWidth="1"/>
    <col min="29" max="16384" width="9.140625" style="45"/>
  </cols>
  <sheetData>
    <row r="1" spans="1:28" ht="15" x14ac:dyDescent="0.2">
      <c r="A1" s="366" t="s">
        <v>939</v>
      </c>
      <c r="B1" s="366"/>
      <c r="C1" s="366"/>
      <c r="D1" s="299" t="s">
        <v>975</v>
      </c>
      <c r="P1" s="45"/>
      <c r="Q1" s="45"/>
      <c r="S1" s="45"/>
      <c r="U1" s="45"/>
      <c r="W1" s="45"/>
      <c r="Y1" s="45"/>
      <c r="AA1" s="45"/>
    </row>
    <row r="2" spans="1:28" x14ac:dyDescent="0.2">
      <c r="P2" s="45"/>
      <c r="Q2" s="45"/>
      <c r="S2" s="45"/>
      <c r="U2" s="45"/>
      <c r="W2" s="45"/>
      <c r="Y2" s="45"/>
      <c r="AA2" s="45"/>
    </row>
    <row r="3" spans="1:28" x14ac:dyDescent="0.2">
      <c r="A3" s="367" t="s">
        <v>940</v>
      </c>
      <c r="B3" s="367"/>
      <c r="C3" s="179">
        <f>Name</f>
        <v>0</v>
      </c>
      <c r="D3" s="48"/>
      <c r="P3" s="45"/>
      <c r="Q3" s="45"/>
      <c r="S3" s="45"/>
      <c r="U3" s="45"/>
      <c r="W3" s="45"/>
      <c r="Y3" s="45"/>
      <c r="AA3" s="45"/>
    </row>
    <row r="4" spans="1:28" x14ac:dyDescent="0.2">
      <c r="A4" s="367" t="s">
        <v>941</v>
      </c>
      <c r="B4" s="367"/>
      <c r="C4" s="49">
        <f>Number</f>
        <v>0</v>
      </c>
      <c r="P4" s="45"/>
      <c r="Q4" s="45"/>
      <c r="S4" s="45"/>
      <c r="U4" s="45"/>
      <c r="W4" s="45"/>
      <c r="Y4" s="45"/>
      <c r="AA4" s="45"/>
    </row>
    <row r="5" spans="1:28" x14ac:dyDescent="0.2">
      <c r="A5" s="46" t="s">
        <v>942</v>
      </c>
      <c r="B5" s="46"/>
      <c r="C5" s="49">
        <f>Eps</f>
        <v>0</v>
      </c>
      <c r="P5" s="45"/>
      <c r="Q5" s="45"/>
      <c r="S5" s="45"/>
      <c r="U5" s="45"/>
      <c r="W5" s="45"/>
      <c r="Y5" s="45"/>
      <c r="AA5" s="45"/>
    </row>
    <row r="6" spans="1:28" x14ac:dyDescent="0.2">
      <c r="A6" s="46"/>
      <c r="B6" s="46"/>
      <c r="C6" s="50"/>
      <c r="P6" s="45"/>
      <c r="Q6" s="45"/>
      <c r="S6" s="45"/>
      <c r="U6" s="45"/>
      <c r="W6" s="45"/>
      <c r="Y6" s="45"/>
      <c r="AA6" s="45"/>
    </row>
    <row r="7" spans="1:28" x14ac:dyDescent="0.2">
      <c r="A7" s="367" t="s">
        <v>983</v>
      </c>
      <c r="B7" s="367"/>
      <c r="C7" s="51">
        <f>AB30+AB75</f>
        <v>0</v>
      </c>
      <c r="P7" s="45"/>
      <c r="Q7" s="45"/>
      <c r="S7" s="45"/>
      <c r="U7" s="45"/>
      <c r="W7" s="45"/>
      <c r="Y7" s="45"/>
      <c r="AA7" s="45"/>
    </row>
    <row r="8" spans="1:28" x14ac:dyDescent="0.2">
      <c r="A8" s="367" t="s">
        <v>943</v>
      </c>
      <c r="B8" s="367"/>
      <c r="C8" s="51">
        <f>IF(ISERROR(ROUND(C7/C5,2)),0,(ROUND(C7/C5,2)))</f>
        <v>0</v>
      </c>
      <c r="P8" s="45"/>
      <c r="Q8" s="45"/>
      <c r="S8" s="45"/>
      <c r="U8" s="45"/>
      <c r="W8" s="45"/>
      <c r="Y8" s="45"/>
      <c r="AA8" s="45"/>
    </row>
    <row r="9" spans="1:28" x14ac:dyDescent="0.2">
      <c r="P9" s="45"/>
      <c r="Q9" s="45"/>
      <c r="S9" s="45"/>
      <c r="U9" s="45"/>
      <c r="W9" s="45"/>
      <c r="Y9" s="45"/>
      <c r="AA9" s="45"/>
    </row>
    <row r="10" spans="1:28" ht="14.25" x14ac:dyDescent="0.2">
      <c r="A10" s="52" t="s">
        <v>984</v>
      </c>
      <c r="H10" s="183"/>
      <c r="P10" s="45"/>
      <c r="Q10" s="45"/>
      <c r="S10" s="45"/>
      <c r="U10" s="45"/>
      <c r="W10" s="45"/>
      <c r="Y10" s="45"/>
      <c r="AA10" s="45"/>
    </row>
    <row r="11" spans="1:28" ht="13.5" thickBot="1" x14ac:dyDescent="0.25">
      <c r="H11" s="183"/>
      <c r="P11" s="45"/>
      <c r="Q11" s="45"/>
      <c r="S11" s="45"/>
      <c r="U11" s="45"/>
      <c r="W11" s="45"/>
      <c r="Y11" s="45"/>
      <c r="AA11" s="45"/>
    </row>
    <row r="12" spans="1:28" s="63" customFormat="1" ht="39" thickBot="1" x14ac:dyDescent="0.25">
      <c r="A12" s="53" t="s">
        <v>94</v>
      </c>
      <c r="B12" s="54" t="s">
        <v>934</v>
      </c>
      <c r="C12" s="54" t="s">
        <v>922</v>
      </c>
      <c r="D12" s="54" t="s">
        <v>923</v>
      </c>
      <c r="E12" s="54" t="s">
        <v>924</v>
      </c>
      <c r="F12" s="53" t="s">
        <v>936</v>
      </c>
      <c r="G12" s="55" t="s">
        <v>910</v>
      </c>
      <c r="H12" s="56" t="s">
        <v>925</v>
      </c>
      <c r="I12" s="57" t="s">
        <v>926</v>
      </c>
      <c r="J12" s="58" t="s">
        <v>935</v>
      </c>
      <c r="K12" s="58" t="s">
        <v>928</v>
      </c>
      <c r="L12" s="59" t="s">
        <v>927</v>
      </c>
      <c r="M12" s="60" t="s">
        <v>929</v>
      </c>
      <c r="N12" s="61" t="s">
        <v>930</v>
      </c>
      <c r="O12" s="62" t="s">
        <v>931</v>
      </c>
      <c r="Q12" s="53" t="s">
        <v>937</v>
      </c>
      <c r="R12" s="56" t="s">
        <v>938</v>
      </c>
      <c r="T12" s="64" t="str">
        <f>"Basic - "&amp;Currency</f>
        <v>Basic - £</v>
      </c>
      <c r="V12" s="64" t="str">
        <f>"NI - "&amp;Currency</f>
        <v>NI - £</v>
      </c>
      <c r="X12" s="64" t="str">
        <f>"Pension - "&amp;Currency</f>
        <v>Pension - £</v>
      </c>
      <c r="Z12" s="64" t="str">
        <f>"Hol - "&amp;Currency</f>
        <v>Hol - £</v>
      </c>
      <c r="AB12" s="64" t="str">
        <f>"TOTAL COST  "&amp;Currency</f>
        <v>TOTAL COST  £</v>
      </c>
    </row>
    <row r="13" spans="1:28" s="68" customFormat="1" x14ac:dyDescent="0.2">
      <c r="A13" s="293" t="s">
        <v>8</v>
      </c>
      <c r="B13" s="294" t="s">
        <v>908</v>
      </c>
      <c r="C13" s="295"/>
      <c r="D13" s="295"/>
      <c r="E13" s="295"/>
      <c r="F13" s="65"/>
      <c r="G13" s="66"/>
      <c r="H13" s="66"/>
      <c r="I13" s="65"/>
      <c r="J13" s="295"/>
      <c r="K13" s="295"/>
      <c r="L13" s="66"/>
      <c r="M13" s="65"/>
      <c r="N13" s="66"/>
      <c r="O13" s="67"/>
      <c r="Q13" s="65"/>
      <c r="R13" s="66"/>
      <c r="T13" s="67"/>
      <c r="V13" s="67"/>
      <c r="X13" s="67"/>
      <c r="Z13" s="67"/>
      <c r="AB13" s="67"/>
    </row>
    <row r="14" spans="1:28" x14ac:dyDescent="0.2">
      <c r="A14" s="70" t="str">
        <f>IF(ISERROR(VLOOKUP(C14,Parameters!$B:$C,2,0)),"-",VLOOKUP(C14,Parameters!$B:$C,2,0))</f>
        <v>-</v>
      </c>
      <c r="B14" s="181" t="str">
        <f>IF($A14="-","-",IF((COUNTIF($A14:$A$14,$A14)-1)&lt;10,$A14&amp;"-0"&amp;(COUNTIF($A14:$A$14,$A14)-1),$A14&amp;"-"&amp;(COUNTIF($A14:$A$14,$A14)-1)))</f>
        <v>-</v>
      </c>
      <c r="C14" s="79"/>
      <c r="D14" s="79"/>
      <c r="E14" s="290"/>
      <c r="F14" s="80"/>
      <c r="G14" s="291"/>
      <c r="H14" s="292"/>
      <c r="I14" s="279"/>
      <c r="J14" s="280"/>
      <c r="K14" s="103"/>
      <c r="L14" s="71">
        <f>IF(OR(I14=0,J14=0),0,IF(J14&lt;I14,53-I14+J14,J14-I14+1))</f>
        <v>0</v>
      </c>
      <c r="M14" s="284"/>
      <c r="N14" s="285"/>
      <c r="O14" s="286"/>
      <c r="P14" s="45"/>
      <c r="Q14" s="89">
        <f t="shared" ref="Q14:Q29" si="0">MROUND(IF(AND(F14="Schedule D",H14="Daily"),(N14/5)*0.54,IF(AND(F14="PAYE",H14="Daily"),(N14/5)*0.63,IF(AND(F14="Schedule D",H14="Weekly"),L14*0.54,IF(AND(F14="PAYE",H14="Weekly"),L14*0.63,0)))),0.5)</f>
        <v>0</v>
      </c>
      <c r="R14" s="87">
        <v>0</v>
      </c>
      <c r="S14" s="45"/>
      <c r="T14" s="72">
        <f>ROUND(IF($H14="Weekly",($L14*$K14),IF($H14="Daily",($N14*$M14),$O14)),2)</f>
        <v>0</v>
      </c>
      <c r="U14" s="69"/>
      <c r="V14" s="72">
        <f>IF(ISERROR(ROUND(IF(F14="PAYE",(T14+Z14)*13.8%,0),2)),0,(ROUND(IF(F14="PAYE",(T14+Z14)*13.8%,0),2)))</f>
        <v>0</v>
      </c>
      <c r="W14" s="69"/>
      <c r="X14" s="72">
        <f>IF(ISERROR(ROUND($T14*$G14,2)),0,ROUND($T14*$G14,2))</f>
        <v>0</v>
      </c>
      <c r="Y14" s="69"/>
      <c r="Z14" s="72">
        <f>IF(ISERROR(ROUND((IF($F14="Schedule D",($T14*10.77%)/Q14*(Q14-R14),IF($F14="PAYE",($T14*12.69%)/Q14*(Q14-R14),0))),2)),0,(ROUND((IF($F14="Schedule D",($T14*10.77%)/Q14*(Q14-R14),IF($F14="PAYE",($T14*12.69%)/Q14*(Q14-R14),0))),2)))</f>
        <v>0</v>
      </c>
      <c r="AA14" s="69"/>
      <c r="AB14" s="72">
        <f>T14+V14+X14+Z14</f>
        <v>0</v>
      </c>
    </row>
    <row r="15" spans="1:28" x14ac:dyDescent="0.2">
      <c r="A15" s="70" t="str">
        <f>IF(ISERROR(VLOOKUP(C15,Parameters!$B:$C,2,0)),"-",VLOOKUP(C15,Parameters!$B:$C,2,0))</f>
        <v>-</v>
      </c>
      <c r="B15" s="181" t="str">
        <f>IF($A15="-","-",IF((COUNTIF($A$15:$A15,$A15)-1)&lt;10,$A15&amp;"-0"&amp;(COUNTIF($A$15:$A15,$A15)-1),$A15&amp;"-"&amp;(COUNTIF($A$15:$A15,$A15)-1)))</f>
        <v>-</v>
      </c>
      <c r="C15" s="79"/>
      <c r="D15" s="79"/>
      <c r="E15" s="79"/>
      <c r="F15" s="80"/>
      <c r="G15" s="78"/>
      <c r="H15" s="82"/>
      <c r="I15" s="279"/>
      <c r="J15" s="280"/>
      <c r="K15" s="103"/>
      <c r="L15" s="71">
        <f t="shared" ref="L15:L29" si="1">IF(OR(I15=0,J15=0),0,IF(J15&lt;I15,53-I15+J15,J15-I15+1))</f>
        <v>0</v>
      </c>
      <c r="M15" s="284"/>
      <c r="N15" s="285"/>
      <c r="O15" s="286"/>
      <c r="P15" s="45"/>
      <c r="Q15" s="89">
        <f t="shared" si="0"/>
        <v>0</v>
      </c>
      <c r="R15" s="87">
        <v>0</v>
      </c>
      <c r="S15" s="45"/>
      <c r="T15" s="72">
        <f t="shared" ref="T15:T29" si="2">ROUND(IF($H15="Weekly",($L15*$K15),IF($H15="Daily",($N15*$M15),$O15)),2)</f>
        <v>0</v>
      </c>
      <c r="U15" s="69"/>
      <c r="V15" s="72">
        <f t="shared" ref="V15:V29" si="3">IF(ISERROR(ROUND(IF(F15="PAYE",(T15+Z15)*13.8%,0),2)),0,(ROUND(IF(F15="PAYE",(T15+Z15)*13.8%,0),2)))</f>
        <v>0</v>
      </c>
      <c r="W15" s="69"/>
      <c r="X15" s="72">
        <f t="shared" ref="X15:X29" si="4">IF(ISERROR(ROUND($T15*$G15,2)),0,ROUND($T15*$G15,2))</f>
        <v>0</v>
      </c>
      <c r="Y15" s="69"/>
      <c r="Z15" s="72">
        <f t="shared" ref="Z15:Z29" si="5">IF(ISERROR(ROUND((IF($F15="Schedule D",($T15*10.77%)/Q15*(Q15-R15),IF($F15="PAYE",($T15*12.69%)/Q15*(Q15-R15),0))),2)),0,(ROUND((IF($F15="Schedule D",($T15*10.77%)/Q15*(Q15-R15),IF($F15="PAYE",($T15*12.69%)/Q15*(Q15-R15),0))),2)))</f>
        <v>0</v>
      </c>
      <c r="AA15" s="69"/>
      <c r="AB15" s="72">
        <f t="shared" ref="AB15:AB29" si="6">T15+V15+X15+Z15</f>
        <v>0</v>
      </c>
    </row>
    <row r="16" spans="1:28" x14ac:dyDescent="0.2">
      <c r="A16" s="70" t="str">
        <f>IF(ISERROR(VLOOKUP(C16,Parameters!$B:$C,2,0)),"-",VLOOKUP(C16,Parameters!$B:$C,2,0))</f>
        <v>-</v>
      </c>
      <c r="B16" s="181" t="str">
        <f>IF($A16="-","-",IF((COUNTIF($A$15:$A16,$A16)-1)&lt;10,$A16&amp;"-0"&amp;(COUNTIF($A$15:$A16,$A16)-1),$A16&amp;"-"&amp;(COUNTIF($A$15:$A16,$A16)-1)))</f>
        <v>-</v>
      </c>
      <c r="C16" s="79"/>
      <c r="D16" s="79"/>
      <c r="E16" s="79"/>
      <c r="F16" s="80"/>
      <c r="G16" s="78"/>
      <c r="H16" s="82"/>
      <c r="I16" s="279"/>
      <c r="J16" s="280"/>
      <c r="K16" s="103"/>
      <c r="L16" s="71">
        <f>IF(OR(I16=0,J16=0),0,IF(J16&lt;I16,53-I16+J16,J16-I16+1))</f>
        <v>0</v>
      </c>
      <c r="M16" s="284"/>
      <c r="N16" s="285"/>
      <c r="O16" s="286"/>
      <c r="P16" s="45"/>
      <c r="Q16" s="89">
        <f t="shared" si="0"/>
        <v>0</v>
      </c>
      <c r="R16" s="87">
        <v>0</v>
      </c>
      <c r="S16" s="45"/>
      <c r="T16" s="72">
        <f t="shared" si="2"/>
        <v>0</v>
      </c>
      <c r="U16" s="69"/>
      <c r="V16" s="72">
        <f>IF(ISERROR(ROUND(IF(F16="PAYE",(T16+Z16)*13.8%,0),2)),0,(ROUND(IF(F16="PAYE",(T16+Z16)*13.8%,0),2)))</f>
        <v>0</v>
      </c>
      <c r="W16" s="69"/>
      <c r="X16" s="72">
        <f t="shared" si="4"/>
        <v>0</v>
      </c>
      <c r="Y16" s="69"/>
      <c r="Z16" s="72">
        <f>IF(ISERROR(ROUND((IF($F16="Schedule D",($T16*10.77%)/Q16*(Q16-R16),IF($F16="PAYE",($T16*12.69%)/Q16*(Q16-R16),0))),2)),0,(ROUND((IF($F16="Schedule D",($T16*10.77%)/Q16*(Q16-R16),IF($F16="PAYE",($T16*12.69%)/Q16*(Q16-R16),0))),2)))</f>
        <v>0</v>
      </c>
      <c r="AA16" s="69"/>
      <c r="AB16" s="72">
        <f>T16+V16+X16+Z16</f>
        <v>0</v>
      </c>
    </row>
    <row r="17" spans="1:28" x14ac:dyDescent="0.2">
      <c r="A17" s="70" t="str">
        <f>IF(ISERROR(VLOOKUP(C17,Parameters!$B:$C,2,0)),"-",VLOOKUP(C17,Parameters!$B:$C,2,0))</f>
        <v>-</v>
      </c>
      <c r="B17" s="181" t="str">
        <f>IF($A17="-","-",IF((COUNTIF($A$15:$A17,$A17)-1)&lt;10,$A17&amp;"-0"&amp;(COUNTIF($A$15:$A17,$A17)-1),$A17&amp;"-"&amp;(COUNTIF($A$15:$A17,$A17)-1)))</f>
        <v>-</v>
      </c>
      <c r="C17" s="79"/>
      <c r="D17" s="79"/>
      <c r="E17" s="79"/>
      <c r="F17" s="80"/>
      <c r="G17" s="81"/>
      <c r="H17" s="82"/>
      <c r="I17" s="279"/>
      <c r="J17" s="280"/>
      <c r="K17" s="103"/>
      <c r="L17" s="71">
        <f t="shared" si="1"/>
        <v>0</v>
      </c>
      <c r="M17" s="284"/>
      <c r="N17" s="285"/>
      <c r="O17" s="286"/>
      <c r="P17" s="45"/>
      <c r="Q17" s="89">
        <f t="shared" si="0"/>
        <v>0</v>
      </c>
      <c r="R17" s="87">
        <v>0</v>
      </c>
      <c r="S17" s="45"/>
      <c r="T17" s="72">
        <f t="shared" si="2"/>
        <v>0</v>
      </c>
      <c r="U17" s="69"/>
      <c r="V17" s="72">
        <f t="shared" si="3"/>
        <v>0</v>
      </c>
      <c r="W17" s="69"/>
      <c r="X17" s="72">
        <f t="shared" si="4"/>
        <v>0</v>
      </c>
      <c r="Y17" s="69"/>
      <c r="Z17" s="72">
        <f t="shared" si="5"/>
        <v>0</v>
      </c>
      <c r="AA17" s="69"/>
      <c r="AB17" s="72">
        <f t="shared" si="6"/>
        <v>0</v>
      </c>
    </row>
    <row r="18" spans="1:28" x14ac:dyDescent="0.2">
      <c r="A18" s="70" t="str">
        <f>IF(ISERROR(VLOOKUP(C18,Parameters!$B:$C,2,0)),"-",VLOOKUP(C18,Parameters!$B:$C,2,0))</f>
        <v>-</v>
      </c>
      <c r="B18" s="181" t="str">
        <f>IF($A18="-","-",IF((COUNTIF($A$15:$A18,$A18)-1)&lt;10,$A18&amp;"-0"&amp;(COUNTIF($A$15:$A18,$A18)-1),$A18&amp;"-"&amp;(COUNTIF($A$15:$A18,$A18)-1)))</f>
        <v>-</v>
      </c>
      <c r="C18" s="79"/>
      <c r="D18" s="79"/>
      <c r="E18" s="79"/>
      <c r="F18" s="80"/>
      <c r="G18" s="81"/>
      <c r="H18" s="82"/>
      <c r="I18" s="279"/>
      <c r="J18" s="280"/>
      <c r="K18" s="103"/>
      <c r="L18" s="71">
        <f t="shared" si="1"/>
        <v>0</v>
      </c>
      <c r="M18" s="284"/>
      <c r="N18" s="285"/>
      <c r="O18" s="286"/>
      <c r="P18" s="45"/>
      <c r="Q18" s="89">
        <f t="shared" si="0"/>
        <v>0</v>
      </c>
      <c r="R18" s="87">
        <v>0</v>
      </c>
      <c r="S18" s="45"/>
      <c r="T18" s="72">
        <f t="shared" si="2"/>
        <v>0</v>
      </c>
      <c r="U18" s="69"/>
      <c r="V18" s="72">
        <f t="shared" si="3"/>
        <v>0</v>
      </c>
      <c r="W18" s="69"/>
      <c r="X18" s="72">
        <f t="shared" si="4"/>
        <v>0</v>
      </c>
      <c r="Y18" s="69"/>
      <c r="Z18" s="72">
        <f t="shared" si="5"/>
        <v>0</v>
      </c>
      <c r="AA18" s="69"/>
      <c r="AB18" s="72">
        <f t="shared" si="6"/>
        <v>0</v>
      </c>
    </row>
    <row r="19" spans="1:28" x14ac:dyDescent="0.2">
      <c r="A19" s="70" t="str">
        <f>IF(ISERROR(VLOOKUP(C19,Parameters!$B:$C,2,0)),"-",VLOOKUP(C19,Parameters!$B:$C,2,0))</f>
        <v>-</v>
      </c>
      <c r="B19" s="181" t="str">
        <f>IF($A19="-","-",IF((COUNTIF($A$15:$A19,$A19)-1)&lt;10,$A19&amp;"-0"&amp;(COUNTIF($A$15:$A19,$A19)-1),$A19&amp;"-"&amp;(COUNTIF($A$15:$A19,$A19)-1)))</f>
        <v>-</v>
      </c>
      <c r="C19" s="79"/>
      <c r="D19" s="79"/>
      <c r="E19" s="79"/>
      <c r="F19" s="80"/>
      <c r="G19" s="81"/>
      <c r="H19" s="82"/>
      <c r="I19" s="279"/>
      <c r="J19" s="280"/>
      <c r="K19" s="103"/>
      <c r="L19" s="71">
        <f t="shared" si="1"/>
        <v>0</v>
      </c>
      <c r="M19" s="284"/>
      <c r="N19" s="285"/>
      <c r="O19" s="286"/>
      <c r="P19" s="45"/>
      <c r="Q19" s="89">
        <f t="shared" si="0"/>
        <v>0</v>
      </c>
      <c r="R19" s="87">
        <v>0</v>
      </c>
      <c r="S19" s="45"/>
      <c r="T19" s="72">
        <f t="shared" si="2"/>
        <v>0</v>
      </c>
      <c r="U19" s="69"/>
      <c r="V19" s="72">
        <f t="shared" si="3"/>
        <v>0</v>
      </c>
      <c r="W19" s="69"/>
      <c r="X19" s="72">
        <f t="shared" si="4"/>
        <v>0</v>
      </c>
      <c r="Y19" s="69"/>
      <c r="Z19" s="72">
        <f t="shared" si="5"/>
        <v>0</v>
      </c>
      <c r="AA19" s="69"/>
      <c r="AB19" s="72">
        <f t="shared" si="6"/>
        <v>0</v>
      </c>
    </row>
    <row r="20" spans="1:28" x14ac:dyDescent="0.2">
      <c r="A20" s="70" t="str">
        <f>IF(ISERROR(VLOOKUP(C20,Parameters!$B:$C,2,0)),"-",VLOOKUP(C20,Parameters!$B:$C,2,0))</f>
        <v>-</v>
      </c>
      <c r="B20" s="181" t="str">
        <f>IF($A20="-","-",IF((COUNTIF($A$15:$A20,$A20)-1)&lt;10,$A20&amp;"-0"&amp;(COUNTIF($A$15:$A20,$A20)-1),$A20&amp;"-"&amp;(COUNTIF($A$15:$A20,$A20)-1)))</f>
        <v>-</v>
      </c>
      <c r="C20" s="79"/>
      <c r="D20" s="79"/>
      <c r="E20" s="79"/>
      <c r="F20" s="80"/>
      <c r="G20" s="81"/>
      <c r="H20" s="82"/>
      <c r="I20" s="279"/>
      <c r="J20" s="280"/>
      <c r="K20" s="103"/>
      <c r="L20" s="71">
        <f t="shared" si="1"/>
        <v>0</v>
      </c>
      <c r="M20" s="284"/>
      <c r="N20" s="285"/>
      <c r="O20" s="286"/>
      <c r="P20" s="45"/>
      <c r="Q20" s="89">
        <f t="shared" si="0"/>
        <v>0</v>
      </c>
      <c r="R20" s="87">
        <v>0</v>
      </c>
      <c r="S20" s="45"/>
      <c r="T20" s="72">
        <f t="shared" si="2"/>
        <v>0</v>
      </c>
      <c r="U20" s="69"/>
      <c r="V20" s="72">
        <f t="shared" si="3"/>
        <v>0</v>
      </c>
      <c r="W20" s="69"/>
      <c r="X20" s="72">
        <f t="shared" si="4"/>
        <v>0</v>
      </c>
      <c r="Y20" s="69"/>
      <c r="Z20" s="72">
        <f t="shared" si="5"/>
        <v>0</v>
      </c>
      <c r="AA20" s="69"/>
      <c r="AB20" s="72">
        <f t="shared" si="6"/>
        <v>0</v>
      </c>
    </row>
    <row r="21" spans="1:28" x14ac:dyDescent="0.2">
      <c r="A21" s="70" t="str">
        <f>IF(ISERROR(VLOOKUP(C21,Parameters!$B:$C,2,0)),"-",VLOOKUP(C21,Parameters!$B:$C,2,0))</f>
        <v>-</v>
      </c>
      <c r="B21" s="181" t="str">
        <f>IF($A21="-","-",IF((COUNTIF($A$15:$A21,$A21)-1)&lt;10,$A21&amp;"-0"&amp;(COUNTIF($A$15:$A21,$A21)-1),$A21&amp;"-"&amp;(COUNTIF($A$15:$A21,$A21)-1)))</f>
        <v>-</v>
      </c>
      <c r="C21" s="79"/>
      <c r="D21" s="79"/>
      <c r="E21" s="79"/>
      <c r="F21" s="80"/>
      <c r="G21" s="81"/>
      <c r="H21" s="82"/>
      <c r="I21" s="279"/>
      <c r="J21" s="280"/>
      <c r="K21" s="103"/>
      <c r="L21" s="71">
        <f t="shared" si="1"/>
        <v>0</v>
      </c>
      <c r="M21" s="284"/>
      <c r="N21" s="285"/>
      <c r="O21" s="286"/>
      <c r="P21" s="45"/>
      <c r="Q21" s="89">
        <f t="shared" si="0"/>
        <v>0</v>
      </c>
      <c r="R21" s="87">
        <v>0</v>
      </c>
      <c r="S21" s="45"/>
      <c r="T21" s="72">
        <f t="shared" si="2"/>
        <v>0</v>
      </c>
      <c r="U21" s="69"/>
      <c r="V21" s="72">
        <f t="shared" si="3"/>
        <v>0</v>
      </c>
      <c r="W21" s="69"/>
      <c r="X21" s="72">
        <f t="shared" si="4"/>
        <v>0</v>
      </c>
      <c r="Y21" s="69"/>
      <c r="Z21" s="72">
        <f t="shared" si="5"/>
        <v>0</v>
      </c>
      <c r="AA21" s="69"/>
      <c r="AB21" s="72">
        <f t="shared" si="6"/>
        <v>0</v>
      </c>
    </row>
    <row r="22" spans="1:28" x14ac:dyDescent="0.2">
      <c r="A22" s="70" t="str">
        <f>IF(ISERROR(VLOOKUP(C22,Parameters!$B:$C,2,0)),"-",VLOOKUP(C22,Parameters!$B:$C,2,0))</f>
        <v>-</v>
      </c>
      <c r="B22" s="181" t="str">
        <f>IF($A22="-","-",IF((COUNTIF($A$15:$A22,$A22)-1)&lt;10,$A22&amp;"-0"&amp;(COUNTIF($A$15:$A22,$A22)-1),$A22&amp;"-"&amp;(COUNTIF($A$15:$A22,$A22)-1)))</f>
        <v>-</v>
      </c>
      <c r="C22" s="79"/>
      <c r="D22" s="79"/>
      <c r="E22" s="79"/>
      <c r="F22" s="80"/>
      <c r="G22" s="81"/>
      <c r="H22" s="82"/>
      <c r="I22" s="279"/>
      <c r="J22" s="280"/>
      <c r="K22" s="103"/>
      <c r="L22" s="71">
        <f t="shared" si="1"/>
        <v>0</v>
      </c>
      <c r="M22" s="284"/>
      <c r="N22" s="285"/>
      <c r="O22" s="286"/>
      <c r="P22" s="45"/>
      <c r="Q22" s="89">
        <f t="shared" si="0"/>
        <v>0</v>
      </c>
      <c r="R22" s="87">
        <v>0</v>
      </c>
      <c r="S22" s="45"/>
      <c r="T22" s="72">
        <f t="shared" si="2"/>
        <v>0</v>
      </c>
      <c r="U22" s="69"/>
      <c r="V22" s="72">
        <f t="shared" si="3"/>
        <v>0</v>
      </c>
      <c r="W22" s="69"/>
      <c r="X22" s="72">
        <f t="shared" si="4"/>
        <v>0</v>
      </c>
      <c r="Y22" s="69"/>
      <c r="Z22" s="72">
        <f t="shared" si="5"/>
        <v>0</v>
      </c>
      <c r="AA22" s="69"/>
      <c r="AB22" s="72">
        <f t="shared" si="6"/>
        <v>0</v>
      </c>
    </row>
    <row r="23" spans="1:28" x14ac:dyDescent="0.2">
      <c r="A23" s="70" t="str">
        <f>IF(ISERROR(VLOOKUP(C23,Parameters!$B:$C,2,0)),"-",VLOOKUP(C23,Parameters!$B:$C,2,0))</f>
        <v>-</v>
      </c>
      <c r="B23" s="181" t="str">
        <f>IF($A23="-","-",IF((COUNTIF($A$15:$A23,$A23)-1)&lt;10,$A23&amp;"-0"&amp;(COUNTIF($A$15:$A23,$A23)-1),$A23&amp;"-"&amp;(COUNTIF($A$15:$A23,$A23)-1)))</f>
        <v>-</v>
      </c>
      <c r="C23" s="79"/>
      <c r="D23" s="79"/>
      <c r="E23" s="79"/>
      <c r="F23" s="80"/>
      <c r="G23" s="81"/>
      <c r="H23" s="82"/>
      <c r="I23" s="279"/>
      <c r="J23" s="280"/>
      <c r="K23" s="103"/>
      <c r="L23" s="71">
        <f t="shared" si="1"/>
        <v>0</v>
      </c>
      <c r="M23" s="284"/>
      <c r="N23" s="285"/>
      <c r="O23" s="286"/>
      <c r="P23" s="45"/>
      <c r="Q23" s="89">
        <f t="shared" si="0"/>
        <v>0</v>
      </c>
      <c r="R23" s="87">
        <v>0</v>
      </c>
      <c r="S23" s="45"/>
      <c r="T23" s="72">
        <f t="shared" si="2"/>
        <v>0</v>
      </c>
      <c r="U23" s="69"/>
      <c r="V23" s="72">
        <f t="shared" si="3"/>
        <v>0</v>
      </c>
      <c r="W23" s="69"/>
      <c r="X23" s="72">
        <f t="shared" si="4"/>
        <v>0</v>
      </c>
      <c r="Y23" s="69"/>
      <c r="Z23" s="72">
        <f t="shared" si="5"/>
        <v>0</v>
      </c>
      <c r="AA23" s="69"/>
      <c r="AB23" s="72">
        <f t="shared" si="6"/>
        <v>0</v>
      </c>
    </row>
    <row r="24" spans="1:28" x14ac:dyDescent="0.2">
      <c r="A24" s="70" t="str">
        <f>IF(ISERROR(VLOOKUP(C24,Parameters!$B:$C,2,0)),"-",VLOOKUP(C24,Parameters!$B:$C,2,0))</f>
        <v>-</v>
      </c>
      <c r="B24" s="181" t="str">
        <f>IF($A24="-","-",IF((COUNTIF($A$15:$A24,$A24)-1)&lt;10,$A24&amp;"-0"&amp;(COUNTIF($A$15:$A24,$A24)-1),$A24&amp;"-"&amp;(COUNTIF($A$15:$A24,$A24)-1)))</f>
        <v>-</v>
      </c>
      <c r="C24" s="79"/>
      <c r="D24" s="79"/>
      <c r="E24" s="79"/>
      <c r="F24" s="80"/>
      <c r="G24" s="81"/>
      <c r="H24" s="82"/>
      <c r="I24" s="279"/>
      <c r="J24" s="280"/>
      <c r="K24" s="103"/>
      <c r="L24" s="71">
        <f t="shared" si="1"/>
        <v>0</v>
      </c>
      <c r="M24" s="284"/>
      <c r="N24" s="285"/>
      <c r="O24" s="286"/>
      <c r="P24" s="45"/>
      <c r="Q24" s="89">
        <f t="shared" si="0"/>
        <v>0</v>
      </c>
      <c r="R24" s="87">
        <v>0</v>
      </c>
      <c r="S24" s="45"/>
      <c r="T24" s="72">
        <f t="shared" si="2"/>
        <v>0</v>
      </c>
      <c r="U24" s="69"/>
      <c r="V24" s="72">
        <f t="shared" si="3"/>
        <v>0</v>
      </c>
      <c r="W24" s="69"/>
      <c r="X24" s="72">
        <f t="shared" si="4"/>
        <v>0</v>
      </c>
      <c r="Y24" s="69"/>
      <c r="Z24" s="72">
        <f t="shared" si="5"/>
        <v>0</v>
      </c>
      <c r="AA24" s="69"/>
      <c r="AB24" s="72">
        <f t="shared" si="6"/>
        <v>0</v>
      </c>
    </row>
    <row r="25" spans="1:28" x14ac:dyDescent="0.2">
      <c r="A25" s="70" t="str">
        <f>IF(ISERROR(VLOOKUP(C25,Parameters!$B:$C,2,0)),"-",VLOOKUP(C25,Parameters!$B:$C,2,0))</f>
        <v>-</v>
      </c>
      <c r="B25" s="181" t="str">
        <f>IF($A25="-","-",IF((COUNTIF($A$15:$A25,$A25)-1)&lt;10,$A25&amp;"-0"&amp;(COUNTIF($A$15:$A25,$A25)-1),$A25&amp;"-"&amp;(COUNTIF($A$15:$A25,$A25)-1)))</f>
        <v>-</v>
      </c>
      <c r="C25" s="79"/>
      <c r="D25" s="79"/>
      <c r="E25" s="79"/>
      <c r="F25" s="80"/>
      <c r="G25" s="81"/>
      <c r="H25" s="82"/>
      <c r="I25" s="279"/>
      <c r="J25" s="280"/>
      <c r="K25" s="103"/>
      <c r="L25" s="71">
        <f t="shared" si="1"/>
        <v>0</v>
      </c>
      <c r="M25" s="284"/>
      <c r="N25" s="285"/>
      <c r="O25" s="286"/>
      <c r="P25" s="45"/>
      <c r="Q25" s="89">
        <f t="shared" si="0"/>
        <v>0</v>
      </c>
      <c r="R25" s="87">
        <v>0</v>
      </c>
      <c r="S25" s="45"/>
      <c r="T25" s="72">
        <f t="shared" si="2"/>
        <v>0</v>
      </c>
      <c r="U25" s="69"/>
      <c r="V25" s="72">
        <f t="shared" si="3"/>
        <v>0</v>
      </c>
      <c r="W25" s="69"/>
      <c r="X25" s="72">
        <f t="shared" si="4"/>
        <v>0</v>
      </c>
      <c r="Y25" s="69"/>
      <c r="Z25" s="72">
        <f t="shared" si="5"/>
        <v>0</v>
      </c>
      <c r="AA25" s="69"/>
      <c r="AB25" s="72">
        <f t="shared" si="6"/>
        <v>0</v>
      </c>
    </row>
    <row r="26" spans="1:28" x14ac:dyDescent="0.2">
      <c r="A26" s="70" t="str">
        <f>IF(ISERROR(VLOOKUP(C26,Parameters!$B:$C,2,0)),"-",VLOOKUP(C26,Parameters!$B:$C,2,0))</f>
        <v>-</v>
      </c>
      <c r="B26" s="181" t="str">
        <f>IF($A26="-","-",IF((COUNTIF($A$15:$A26,$A26)-1)&lt;10,$A26&amp;"-0"&amp;(COUNTIF($A$15:$A26,$A26)-1),$A26&amp;"-"&amp;(COUNTIF($A$15:$A26,$A26)-1)))</f>
        <v>-</v>
      </c>
      <c r="C26" s="79"/>
      <c r="D26" s="79"/>
      <c r="E26" s="79"/>
      <c r="F26" s="80"/>
      <c r="G26" s="81"/>
      <c r="H26" s="82"/>
      <c r="I26" s="279"/>
      <c r="J26" s="280"/>
      <c r="K26" s="103"/>
      <c r="L26" s="71">
        <f t="shared" si="1"/>
        <v>0</v>
      </c>
      <c r="M26" s="284"/>
      <c r="N26" s="285"/>
      <c r="O26" s="286"/>
      <c r="P26" s="45"/>
      <c r="Q26" s="89">
        <f t="shared" si="0"/>
        <v>0</v>
      </c>
      <c r="R26" s="87">
        <v>0</v>
      </c>
      <c r="S26" s="45"/>
      <c r="T26" s="72">
        <f t="shared" si="2"/>
        <v>0</v>
      </c>
      <c r="U26" s="69"/>
      <c r="V26" s="72">
        <f t="shared" si="3"/>
        <v>0</v>
      </c>
      <c r="W26" s="69"/>
      <c r="X26" s="72">
        <f t="shared" si="4"/>
        <v>0</v>
      </c>
      <c r="Y26" s="69"/>
      <c r="Z26" s="72">
        <f t="shared" si="5"/>
        <v>0</v>
      </c>
      <c r="AA26" s="69"/>
      <c r="AB26" s="72">
        <f t="shared" si="6"/>
        <v>0</v>
      </c>
    </row>
    <row r="27" spans="1:28" x14ac:dyDescent="0.2">
      <c r="A27" s="70" t="str">
        <f>IF(ISERROR(VLOOKUP(C27,Parameters!$B:$C,2,0)),"-",VLOOKUP(C27,Parameters!$B:$C,2,0))</f>
        <v>-</v>
      </c>
      <c r="B27" s="181" t="str">
        <f>IF($A27="-","-",IF((COUNTIF($A$15:$A27,$A27)-1)&lt;10,$A27&amp;"-0"&amp;(COUNTIF($A$15:$A27,$A27)-1),$A27&amp;"-"&amp;(COUNTIF($A$15:$A27,$A27)-1)))</f>
        <v>-</v>
      </c>
      <c r="C27" s="79"/>
      <c r="D27" s="79"/>
      <c r="E27" s="79"/>
      <c r="F27" s="80"/>
      <c r="G27" s="81"/>
      <c r="H27" s="82"/>
      <c r="I27" s="279"/>
      <c r="J27" s="280"/>
      <c r="K27" s="103"/>
      <c r="L27" s="71">
        <f t="shared" si="1"/>
        <v>0</v>
      </c>
      <c r="M27" s="284"/>
      <c r="N27" s="285"/>
      <c r="O27" s="286"/>
      <c r="P27" s="45"/>
      <c r="Q27" s="89">
        <f t="shared" si="0"/>
        <v>0</v>
      </c>
      <c r="R27" s="87">
        <v>0</v>
      </c>
      <c r="S27" s="45"/>
      <c r="T27" s="72">
        <f t="shared" si="2"/>
        <v>0</v>
      </c>
      <c r="U27" s="69"/>
      <c r="V27" s="72">
        <f t="shared" si="3"/>
        <v>0</v>
      </c>
      <c r="W27" s="69"/>
      <c r="X27" s="72">
        <f t="shared" si="4"/>
        <v>0</v>
      </c>
      <c r="Y27" s="69"/>
      <c r="Z27" s="72">
        <f t="shared" si="5"/>
        <v>0</v>
      </c>
      <c r="AA27" s="69"/>
      <c r="AB27" s="72">
        <f t="shared" si="6"/>
        <v>0</v>
      </c>
    </row>
    <row r="28" spans="1:28" x14ac:dyDescent="0.2">
      <c r="A28" s="70" t="str">
        <f>IF(ISERROR(VLOOKUP(C28,Parameters!$B:$C,2,0)),"-",VLOOKUP(C28,Parameters!$B:$C,2,0))</f>
        <v>-</v>
      </c>
      <c r="B28" s="181" t="str">
        <f>IF($A28="-","-",IF((COUNTIF($A$15:$A28,$A28)-1)&lt;10,$A28&amp;"-0"&amp;(COUNTIF($A$15:$A28,$A28)-1),$A28&amp;"-"&amp;(COUNTIF($A$15:$A28,$A28)-1)))</f>
        <v>-</v>
      </c>
      <c r="C28" s="79"/>
      <c r="D28" s="79"/>
      <c r="E28" s="79"/>
      <c r="F28" s="80"/>
      <c r="G28" s="81"/>
      <c r="H28" s="82"/>
      <c r="I28" s="279"/>
      <c r="J28" s="280"/>
      <c r="K28" s="103"/>
      <c r="L28" s="71">
        <f t="shared" si="1"/>
        <v>0</v>
      </c>
      <c r="M28" s="284"/>
      <c r="N28" s="285"/>
      <c r="O28" s="286"/>
      <c r="P28" s="45"/>
      <c r="Q28" s="89">
        <f t="shared" si="0"/>
        <v>0</v>
      </c>
      <c r="R28" s="87">
        <v>0</v>
      </c>
      <c r="S28" s="45"/>
      <c r="T28" s="72">
        <f t="shared" si="2"/>
        <v>0</v>
      </c>
      <c r="U28" s="69"/>
      <c r="V28" s="72">
        <f t="shared" si="3"/>
        <v>0</v>
      </c>
      <c r="W28" s="69"/>
      <c r="X28" s="72">
        <f t="shared" si="4"/>
        <v>0</v>
      </c>
      <c r="Y28" s="69"/>
      <c r="Z28" s="72">
        <f t="shared" si="5"/>
        <v>0</v>
      </c>
      <c r="AA28" s="69"/>
      <c r="AB28" s="72">
        <f t="shared" si="6"/>
        <v>0</v>
      </c>
    </row>
    <row r="29" spans="1:28" ht="13.5" thickBot="1" x14ac:dyDescent="0.25">
      <c r="A29" s="73" t="str">
        <f>IF(ISERROR(VLOOKUP(C29,Parameters!$B:$C,2,0)),"-",VLOOKUP(C29,Parameters!$B:$C,2,0))</f>
        <v>-</v>
      </c>
      <c r="B29" s="182" t="str">
        <f>IF($A29="-","-",IF((COUNTIF($A$15:$A29,$A29)-1)&lt;10,$A29&amp;"-0"&amp;(COUNTIF($A$15:$A29,$A29)-1),$A29&amp;"-"&amp;(COUNTIF($A$15:$A29,$A29)-1)))</f>
        <v>-</v>
      </c>
      <c r="C29" s="83"/>
      <c r="D29" s="83"/>
      <c r="E29" s="83"/>
      <c r="F29" s="84"/>
      <c r="G29" s="85"/>
      <c r="H29" s="86"/>
      <c r="I29" s="281"/>
      <c r="J29" s="282"/>
      <c r="K29" s="283"/>
      <c r="L29" s="74">
        <f t="shared" si="1"/>
        <v>0</v>
      </c>
      <c r="M29" s="287"/>
      <c r="N29" s="288"/>
      <c r="O29" s="289"/>
      <c r="P29" s="45"/>
      <c r="Q29" s="90">
        <f t="shared" si="0"/>
        <v>0</v>
      </c>
      <c r="R29" s="88">
        <v>0</v>
      </c>
      <c r="S29" s="45"/>
      <c r="T29" s="75">
        <f t="shared" si="2"/>
        <v>0</v>
      </c>
      <c r="U29" s="69"/>
      <c r="V29" s="75">
        <f t="shared" si="3"/>
        <v>0</v>
      </c>
      <c r="W29" s="69"/>
      <c r="X29" s="75">
        <f t="shared" si="4"/>
        <v>0</v>
      </c>
      <c r="Y29" s="69"/>
      <c r="Z29" s="75">
        <f t="shared" si="5"/>
        <v>0</v>
      </c>
      <c r="AA29" s="69"/>
      <c r="AB29" s="75">
        <f t="shared" si="6"/>
        <v>0</v>
      </c>
    </row>
    <row r="30" spans="1:28" x14ac:dyDescent="0.2">
      <c r="A30" s="356" t="str">
        <f>A13&amp;" TOTALS"</f>
        <v>02 TOTALS</v>
      </c>
      <c r="B30" s="357"/>
      <c r="C30" s="357"/>
      <c r="D30" s="357"/>
      <c r="E30" s="357"/>
      <c r="F30" s="357"/>
      <c r="G30" s="357"/>
      <c r="H30" s="358"/>
      <c r="I30" s="76"/>
      <c r="J30" s="76"/>
      <c r="K30" s="76"/>
      <c r="L30" s="352">
        <f>SUM(L13:L29)</f>
        <v>0</v>
      </c>
      <c r="M30" s="76"/>
      <c r="N30" s="352">
        <f>SUM(N13:N29)</f>
        <v>0</v>
      </c>
      <c r="O30" s="76"/>
      <c r="Q30" s="364">
        <f>SUM(Q13:Q29)</f>
        <v>0</v>
      </c>
      <c r="R30" s="362">
        <f>SUM(R13:R29)</f>
        <v>0</v>
      </c>
      <c r="T30" s="354">
        <f>SUM(T13:T29)</f>
        <v>0</v>
      </c>
      <c r="V30" s="354">
        <f>SUM(V13:V29)</f>
        <v>0</v>
      </c>
      <c r="X30" s="354">
        <f>SUM(X13:X29)</f>
        <v>0</v>
      </c>
      <c r="Z30" s="354">
        <f>SUM(Z13:Z29)</f>
        <v>0</v>
      </c>
      <c r="AB30" s="354">
        <f>ROUND(SUM(AB13:AB29),2)</f>
        <v>0</v>
      </c>
    </row>
    <row r="31" spans="1:28" ht="13.5" thickBot="1" x14ac:dyDescent="0.25">
      <c r="A31" s="359"/>
      <c r="B31" s="360"/>
      <c r="C31" s="360"/>
      <c r="D31" s="360"/>
      <c r="E31" s="360"/>
      <c r="F31" s="360"/>
      <c r="G31" s="360"/>
      <c r="H31" s="361"/>
      <c r="I31" s="76"/>
      <c r="J31" s="76"/>
      <c r="K31" s="76"/>
      <c r="L31" s="353"/>
      <c r="M31" s="76"/>
      <c r="N31" s="353"/>
      <c r="O31" s="76"/>
      <c r="Q31" s="365"/>
      <c r="R31" s="363"/>
      <c r="T31" s="355"/>
      <c r="V31" s="355"/>
      <c r="X31" s="355"/>
      <c r="Z31" s="355"/>
      <c r="AB31" s="355"/>
    </row>
    <row r="33" spans="1:28" ht="13.5" thickBot="1" x14ac:dyDescent="0.25"/>
    <row r="34" spans="1:28" ht="39" thickBot="1" x14ac:dyDescent="0.25">
      <c r="A34" s="53" t="s">
        <v>94</v>
      </c>
      <c r="B34" s="54" t="s">
        <v>934</v>
      </c>
      <c r="C34" s="54" t="s">
        <v>922</v>
      </c>
      <c r="D34" s="54" t="s">
        <v>923</v>
      </c>
      <c r="E34" s="54" t="s">
        <v>924</v>
      </c>
      <c r="F34" s="53" t="s">
        <v>936</v>
      </c>
      <c r="G34" s="55" t="s">
        <v>910</v>
      </c>
      <c r="H34" s="56" t="s">
        <v>925</v>
      </c>
      <c r="I34" s="57" t="s">
        <v>926</v>
      </c>
      <c r="J34" s="58" t="s">
        <v>935</v>
      </c>
      <c r="K34" s="58" t="s">
        <v>928</v>
      </c>
      <c r="L34" s="59" t="s">
        <v>927</v>
      </c>
      <c r="M34" s="60" t="s">
        <v>929</v>
      </c>
      <c r="N34" s="61" t="s">
        <v>930</v>
      </c>
      <c r="O34" s="62" t="s">
        <v>931</v>
      </c>
      <c r="P34" s="63"/>
      <c r="Q34" s="53" t="s">
        <v>937</v>
      </c>
      <c r="R34" s="56" t="s">
        <v>938</v>
      </c>
      <c r="S34" s="63"/>
      <c r="T34" s="64" t="str">
        <f>"Basic - "&amp;Currency</f>
        <v>Basic - £</v>
      </c>
      <c r="U34" s="63"/>
      <c r="V34" s="64" t="str">
        <f>"NI - "&amp;Currency</f>
        <v>NI - £</v>
      </c>
      <c r="W34" s="63"/>
      <c r="X34" s="64" t="str">
        <f>"Pension - "&amp;Currency</f>
        <v>Pension - £</v>
      </c>
      <c r="Y34" s="63"/>
      <c r="Z34" s="64" t="str">
        <f>"Hol - "&amp;Currency</f>
        <v>Hol - £</v>
      </c>
      <c r="AA34" s="63"/>
      <c r="AB34" s="64" t="str">
        <f>"TOTAL COST  "&amp;Currency</f>
        <v>TOTAL COST  £</v>
      </c>
    </row>
    <row r="35" spans="1:28" s="68" customFormat="1" x14ac:dyDescent="0.2">
      <c r="A35" s="293" t="s">
        <v>14</v>
      </c>
      <c r="B35" s="294" t="s">
        <v>15</v>
      </c>
      <c r="C35" s="295"/>
      <c r="D35" s="295"/>
      <c r="E35" s="295"/>
      <c r="F35" s="65"/>
      <c r="G35" s="66"/>
      <c r="H35" s="66"/>
      <c r="I35" s="65"/>
      <c r="J35" s="295"/>
      <c r="K35" s="295"/>
      <c r="L35" s="66"/>
      <c r="M35" s="65"/>
      <c r="N35" s="66"/>
      <c r="O35" s="67"/>
      <c r="Q35" s="65"/>
      <c r="R35" s="66"/>
      <c r="T35" s="67"/>
      <c r="V35" s="67"/>
      <c r="X35" s="67"/>
      <c r="Z35" s="67"/>
      <c r="AB35" s="67"/>
    </row>
    <row r="36" spans="1:28" x14ac:dyDescent="0.2">
      <c r="A36" s="70" t="str">
        <f>IF(ISERROR(VLOOKUP(C36,Parameters!$B:$C,2,0)),"-",VLOOKUP(C36,Parameters!$B:$C,2,0))</f>
        <v>-</v>
      </c>
      <c r="B36" s="181" t="str">
        <f>IF($A36="-","-",IF((COUNTIF($A$36:$A36,$A36)-1)&lt;10,$A36&amp;"-0"&amp;(COUNTIF($A$36:$A36,$A36)-1),$A36&amp;"-"&amp;(COUNTIF($A$36:$A36,$A36)-1)))</f>
        <v>-</v>
      </c>
      <c r="C36" s="79"/>
      <c r="D36" s="79"/>
      <c r="E36" s="290"/>
      <c r="F36" s="80"/>
      <c r="G36" s="291"/>
      <c r="H36" s="292"/>
      <c r="I36" s="279"/>
      <c r="J36" s="280"/>
      <c r="K36" s="103"/>
      <c r="L36" s="71">
        <f>IF(OR(I36=0,J36=0),0,IF(J36&lt;I36,53-I36+J36,J36-I36+1))</f>
        <v>0</v>
      </c>
      <c r="M36" s="284"/>
      <c r="N36" s="285"/>
      <c r="O36" s="286"/>
      <c r="P36" s="45"/>
      <c r="Q36" s="89">
        <f t="shared" ref="Q36:Q74" si="7">MROUND(IF(AND(F36="Schedule D",H36="Daily"),(N36/5)*0.54,IF(AND(F36="PAYE",H36="Daily"),(N36/5)*0.63,IF(AND(F36="Schedule D",H36="Weekly"),L36*0.54,IF(AND(F36="PAYE",H36="Weekly"),L36*0.63,0)))),0.5)</f>
        <v>0</v>
      </c>
      <c r="R36" s="87">
        <v>0</v>
      </c>
      <c r="S36" s="45"/>
      <c r="T36" s="72">
        <f t="shared" ref="T36:T74" si="8">ROUND(IF($H36="Weekly",($L36*$K36),IF($H36="Daily",($N36*$M36),$O36)),2)</f>
        <v>0</v>
      </c>
      <c r="U36" s="69"/>
      <c r="V36" s="72">
        <f t="shared" ref="V36:V74" si="9">IF(ISERROR(ROUND(IF(F36="PAYE",(T36+Z36)*13.8%,0),2)),0,(ROUND(IF(F36="PAYE",(T36+Z36)*13.8%,0),2)))</f>
        <v>0</v>
      </c>
      <c r="W36" s="69"/>
      <c r="X36" s="72">
        <f t="shared" ref="X36:X74" si="10">IF(ISERROR(ROUND($T36*$G36,2)),0,ROUND($T36*$G36,2))</f>
        <v>0</v>
      </c>
      <c r="Y36" s="69"/>
      <c r="Z36" s="72">
        <f t="shared" ref="Z36:Z74" si="11">IF(ISERROR(ROUND((IF($F36="Schedule D",($T36*10.77%)/Q36*(Q36-R36),IF($F36="PAYE",($T36*12.69%)/Q36*(Q36-R36),0))),2)),0,(ROUND((IF($F36="Schedule D",($T36*10.77%)/Q36*(Q36-R36),IF($F36="PAYE",($T36*12.69%)/Q36*(Q36-R36),0))),2)))</f>
        <v>0</v>
      </c>
      <c r="AA36" s="69"/>
      <c r="AB36" s="72">
        <f>T36+V36+X36+Z36</f>
        <v>0</v>
      </c>
    </row>
    <row r="37" spans="1:28" x14ac:dyDescent="0.2">
      <c r="A37" s="70" t="str">
        <f>IF(ISERROR(VLOOKUP(C37,Parameters!$B:$C,2,0)),"-",VLOOKUP(C37,Parameters!$B:$C,2,0))</f>
        <v>-</v>
      </c>
      <c r="B37" s="181" t="str">
        <f>IF($A37="-","-",IF((COUNTIF($A$36:$A37,$A37)-1)&lt;10,$A37&amp;"-0"&amp;(COUNTIF($A$36:$A37,$A37)-1),$A37&amp;"-"&amp;(COUNTIF($A$36:$A37,$A37)-1)))</f>
        <v>-</v>
      </c>
      <c r="C37" s="79"/>
      <c r="D37" s="79"/>
      <c r="E37" s="79"/>
      <c r="F37" s="80"/>
      <c r="G37" s="78"/>
      <c r="H37" s="82"/>
      <c r="I37" s="279"/>
      <c r="J37" s="280"/>
      <c r="K37" s="103"/>
      <c r="L37" s="71">
        <f>IF(OR(I37=0,J37=0),0,IF(J37&lt;I37,53-I37+J37,J37-I37+1))</f>
        <v>0</v>
      </c>
      <c r="M37" s="284"/>
      <c r="N37" s="285"/>
      <c r="O37" s="286"/>
      <c r="P37" s="45"/>
      <c r="Q37" s="89">
        <f t="shared" si="7"/>
        <v>0</v>
      </c>
      <c r="R37" s="87">
        <v>0</v>
      </c>
      <c r="S37" s="45"/>
      <c r="T37" s="72">
        <f t="shared" si="8"/>
        <v>0</v>
      </c>
      <c r="U37" s="69"/>
      <c r="V37" s="72">
        <f t="shared" si="9"/>
        <v>0</v>
      </c>
      <c r="W37" s="69"/>
      <c r="X37" s="72">
        <f t="shared" si="10"/>
        <v>0</v>
      </c>
      <c r="Y37" s="69"/>
      <c r="Z37" s="72">
        <f t="shared" si="11"/>
        <v>0</v>
      </c>
      <c r="AA37" s="69"/>
      <c r="AB37" s="72">
        <f>T37+V37+X37+Z37</f>
        <v>0</v>
      </c>
    </row>
    <row r="38" spans="1:28" x14ac:dyDescent="0.2">
      <c r="A38" s="70" t="str">
        <f>IF(ISERROR(VLOOKUP(C38,Parameters!$B:$C,2,0)),"-",VLOOKUP(C38,Parameters!$B:$C,2,0))</f>
        <v>-</v>
      </c>
      <c r="B38" s="181" t="str">
        <f>IF($A38="-","-",IF((COUNTIF($A$36:$A38,$A38)-1)&lt;10,$A38&amp;"-0"&amp;(COUNTIF($A$36:$A38,$A38)-1),$A38&amp;"-"&amp;(COUNTIF($A$36:$A38,$A38)-1)))</f>
        <v>-</v>
      </c>
      <c r="C38" s="79"/>
      <c r="D38" s="79"/>
      <c r="E38" s="79"/>
      <c r="F38" s="80"/>
      <c r="G38" s="78"/>
      <c r="H38" s="82"/>
      <c r="I38" s="279"/>
      <c r="J38" s="280"/>
      <c r="K38" s="103"/>
      <c r="L38" s="71">
        <f t="shared" ref="L38:L46" si="12">IF(OR(I38=0,J38=0),0,IF(J38&lt;I38,53-I38+J38,J38-I38+1))</f>
        <v>0</v>
      </c>
      <c r="M38" s="284"/>
      <c r="N38" s="285"/>
      <c r="O38" s="286"/>
      <c r="P38" s="45"/>
      <c r="Q38" s="89">
        <f t="shared" si="7"/>
        <v>0</v>
      </c>
      <c r="R38" s="87">
        <v>0</v>
      </c>
      <c r="S38" s="45"/>
      <c r="T38" s="72">
        <f t="shared" si="8"/>
        <v>0</v>
      </c>
      <c r="U38" s="69"/>
      <c r="V38" s="72">
        <f t="shared" si="9"/>
        <v>0</v>
      </c>
      <c r="W38" s="69"/>
      <c r="X38" s="72">
        <f t="shared" si="10"/>
        <v>0</v>
      </c>
      <c r="Y38" s="69"/>
      <c r="Z38" s="72">
        <f t="shared" si="11"/>
        <v>0</v>
      </c>
      <c r="AA38" s="69"/>
      <c r="AB38" s="72">
        <f t="shared" ref="AB38:AB46" si="13">T38+V38+X38+Z38</f>
        <v>0</v>
      </c>
    </row>
    <row r="39" spans="1:28" x14ac:dyDescent="0.2">
      <c r="A39" s="70" t="str">
        <f>IF(ISERROR(VLOOKUP(C39,Parameters!$B:$C,2,0)),"-",VLOOKUP(C39,Parameters!$B:$C,2,0))</f>
        <v>-</v>
      </c>
      <c r="B39" s="181" t="str">
        <f>IF($A39="-","-",IF((COUNTIF($A$36:$A39,$A39)-1)&lt;10,$A39&amp;"-0"&amp;(COUNTIF($A$36:$A39,$A39)-1),$A39&amp;"-"&amp;(COUNTIF($A$36:$A39,$A39)-1)))</f>
        <v>-</v>
      </c>
      <c r="C39" s="79"/>
      <c r="D39" s="79"/>
      <c r="E39" s="79"/>
      <c r="F39" s="80"/>
      <c r="G39" s="78"/>
      <c r="H39" s="82"/>
      <c r="I39" s="279"/>
      <c r="J39" s="280"/>
      <c r="K39" s="103"/>
      <c r="L39" s="71">
        <f t="shared" si="12"/>
        <v>0</v>
      </c>
      <c r="M39" s="284"/>
      <c r="N39" s="285"/>
      <c r="O39" s="286"/>
      <c r="P39" s="45"/>
      <c r="Q39" s="89">
        <f t="shared" si="7"/>
        <v>0</v>
      </c>
      <c r="R39" s="87">
        <v>0</v>
      </c>
      <c r="S39" s="45"/>
      <c r="T39" s="72">
        <f t="shared" si="8"/>
        <v>0</v>
      </c>
      <c r="U39" s="69"/>
      <c r="V39" s="72">
        <f t="shared" si="9"/>
        <v>0</v>
      </c>
      <c r="W39" s="69"/>
      <c r="X39" s="72">
        <f t="shared" si="10"/>
        <v>0</v>
      </c>
      <c r="Y39" s="69"/>
      <c r="Z39" s="72">
        <f t="shared" si="11"/>
        <v>0</v>
      </c>
      <c r="AA39" s="69"/>
      <c r="AB39" s="72">
        <f t="shared" si="13"/>
        <v>0</v>
      </c>
    </row>
    <row r="40" spans="1:28" x14ac:dyDescent="0.2">
      <c r="A40" s="70" t="str">
        <f>IF(ISERROR(VLOOKUP(C40,Parameters!$B:$C,2,0)),"-",VLOOKUP(C40,Parameters!$B:$C,2,0))</f>
        <v>-</v>
      </c>
      <c r="B40" s="181" t="str">
        <f>IF($A40="-","-",IF((COUNTIF($A$36:$A40,$A40)-1)&lt;10,$A40&amp;"-0"&amp;(COUNTIF($A$36:$A40,$A40)-1),$A40&amp;"-"&amp;(COUNTIF($A$36:$A40,$A40)-1)))</f>
        <v>-</v>
      </c>
      <c r="C40" s="79"/>
      <c r="D40" s="79"/>
      <c r="E40" s="79"/>
      <c r="F40" s="80"/>
      <c r="G40" s="78"/>
      <c r="H40" s="82"/>
      <c r="I40" s="279"/>
      <c r="J40" s="280"/>
      <c r="K40" s="103"/>
      <c r="L40" s="71">
        <f t="shared" si="12"/>
        <v>0</v>
      </c>
      <c r="M40" s="284"/>
      <c r="N40" s="285"/>
      <c r="O40" s="286"/>
      <c r="P40" s="45"/>
      <c r="Q40" s="89">
        <f t="shared" si="7"/>
        <v>0</v>
      </c>
      <c r="R40" s="87">
        <v>0</v>
      </c>
      <c r="S40" s="45"/>
      <c r="T40" s="72">
        <f t="shared" si="8"/>
        <v>0</v>
      </c>
      <c r="U40" s="69"/>
      <c r="V40" s="72">
        <f t="shared" si="9"/>
        <v>0</v>
      </c>
      <c r="W40" s="69"/>
      <c r="X40" s="72">
        <f t="shared" si="10"/>
        <v>0</v>
      </c>
      <c r="Y40" s="69"/>
      <c r="Z40" s="72">
        <f t="shared" si="11"/>
        <v>0</v>
      </c>
      <c r="AA40" s="69"/>
      <c r="AB40" s="72">
        <f t="shared" si="13"/>
        <v>0</v>
      </c>
    </row>
    <row r="41" spans="1:28" x14ac:dyDescent="0.2">
      <c r="A41" s="70" t="str">
        <f>IF(ISERROR(VLOOKUP(C41,Parameters!$B:$C,2,0)),"-",VLOOKUP(C41,Parameters!$B:$C,2,0))</f>
        <v>-</v>
      </c>
      <c r="B41" s="181" t="str">
        <f>IF($A41="-","-",IF((COUNTIF($A$36:$A41,$A41)-1)&lt;10,$A41&amp;"-0"&amp;(COUNTIF($A$36:$A41,$A41)-1),$A41&amp;"-"&amp;(COUNTIF($A$36:$A41,$A41)-1)))</f>
        <v>-</v>
      </c>
      <c r="C41" s="79"/>
      <c r="D41" s="79"/>
      <c r="E41" s="79"/>
      <c r="F41" s="80"/>
      <c r="G41" s="81"/>
      <c r="H41" s="82"/>
      <c r="I41" s="279"/>
      <c r="J41" s="280"/>
      <c r="K41" s="103"/>
      <c r="L41" s="71">
        <f t="shared" si="12"/>
        <v>0</v>
      </c>
      <c r="M41" s="284"/>
      <c r="N41" s="285"/>
      <c r="O41" s="286"/>
      <c r="P41" s="45"/>
      <c r="Q41" s="89">
        <f t="shared" si="7"/>
        <v>0</v>
      </c>
      <c r="R41" s="87">
        <v>0</v>
      </c>
      <c r="S41" s="45"/>
      <c r="T41" s="72">
        <f t="shared" si="8"/>
        <v>0</v>
      </c>
      <c r="U41" s="69"/>
      <c r="V41" s="72">
        <f t="shared" si="9"/>
        <v>0</v>
      </c>
      <c r="W41" s="69"/>
      <c r="X41" s="72">
        <f t="shared" si="10"/>
        <v>0</v>
      </c>
      <c r="Y41" s="69"/>
      <c r="Z41" s="72">
        <f t="shared" si="11"/>
        <v>0</v>
      </c>
      <c r="AA41" s="69"/>
      <c r="AB41" s="72">
        <f t="shared" si="13"/>
        <v>0</v>
      </c>
    </row>
    <row r="42" spans="1:28" x14ac:dyDescent="0.2">
      <c r="A42" s="70" t="str">
        <f>IF(ISERROR(VLOOKUP(C42,Parameters!$B:$C,2,0)),"-",VLOOKUP(C42,Parameters!$B:$C,2,0))</f>
        <v>-</v>
      </c>
      <c r="B42" s="181" t="str">
        <f>IF($A42="-","-",IF((COUNTIF($A$36:$A42,$A42)-1)&lt;10,$A42&amp;"-0"&amp;(COUNTIF($A$36:$A42,$A42)-1),$A42&amp;"-"&amp;(COUNTIF($A$36:$A42,$A42)-1)))</f>
        <v>-</v>
      </c>
      <c r="C42" s="79"/>
      <c r="D42" s="79"/>
      <c r="E42" s="79"/>
      <c r="F42" s="80"/>
      <c r="G42" s="81"/>
      <c r="H42" s="82"/>
      <c r="I42" s="279"/>
      <c r="J42" s="280"/>
      <c r="K42" s="103"/>
      <c r="L42" s="71">
        <f t="shared" si="12"/>
        <v>0</v>
      </c>
      <c r="M42" s="284"/>
      <c r="N42" s="285"/>
      <c r="O42" s="286"/>
      <c r="P42" s="45"/>
      <c r="Q42" s="89">
        <f t="shared" si="7"/>
        <v>0</v>
      </c>
      <c r="R42" s="87">
        <v>0</v>
      </c>
      <c r="S42" s="45"/>
      <c r="T42" s="72">
        <f t="shared" si="8"/>
        <v>0</v>
      </c>
      <c r="U42" s="69"/>
      <c r="V42" s="72">
        <f t="shared" si="9"/>
        <v>0</v>
      </c>
      <c r="W42" s="69"/>
      <c r="X42" s="72">
        <f t="shared" si="10"/>
        <v>0</v>
      </c>
      <c r="Y42" s="69"/>
      <c r="Z42" s="72">
        <f t="shared" si="11"/>
        <v>0</v>
      </c>
      <c r="AA42" s="69"/>
      <c r="AB42" s="72">
        <f t="shared" si="13"/>
        <v>0</v>
      </c>
    </row>
    <row r="43" spans="1:28" x14ac:dyDescent="0.2">
      <c r="A43" s="70" t="str">
        <f>IF(ISERROR(VLOOKUP(C43,Parameters!$B:$C,2,0)),"-",VLOOKUP(C43,Parameters!$B:$C,2,0))</f>
        <v>-</v>
      </c>
      <c r="B43" s="181" t="str">
        <f>IF($A43="-","-",IF((COUNTIF($A$36:$A43,$A43)-1)&lt;10,$A43&amp;"-0"&amp;(COUNTIF($A$36:$A43,$A43)-1),$A43&amp;"-"&amp;(COUNTIF($A$36:$A43,$A43)-1)))</f>
        <v>-</v>
      </c>
      <c r="C43" s="79"/>
      <c r="D43" s="79"/>
      <c r="E43" s="79"/>
      <c r="F43" s="80"/>
      <c r="G43" s="81"/>
      <c r="H43" s="82"/>
      <c r="I43" s="279"/>
      <c r="J43" s="280"/>
      <c r="K43" s="103"/>
      <c r="L43" s="71">
        <f t="shared" si="12"/>
        <v>0</v>
      </c>
      <c r="M43" s="284"/>
      <c r="N43" s="285"/>
      <c r="O43" s="286"/>
      <c r="P43" s="45"/>
      <c r="Q43" s="89">
        <f t="shared" si="7"/>
        <v>0</v>
      </c>
      <c r="R43" s="87">
        <v>0</v>
      </c>
      <c r="S43" s="45"/>
      <c r="T43" s="72">
        <f t="shared" si="8"/>
        <v>0</v>
      </c>
      <c r="U43" s="69"/>
      <c r="V43" s="72">
        <f t="shared" si="9"/>
        <v>0</v>
      </c>
      <c r="W43" s="69"/>
      <c r="X43" s="72">
        <f t="shared" si="10"/>
        <v>0</v>
      </c>
      <c r="Y43" s="69"/>
      <c r="Z43" s="72">
        <f t="shared" si="11"/>
        <v>0</v>
      </c>
      <c r="AA43" s="69"/>
      <c r="AB43" s="72">
        <f t="shared" si="13"/>
        <v>0</v>
      </c>
    </row>
    <row r="44" spans="1:28" x14ac:dyDescent="0.2">
      <c r="A44" s="70" t="str">
        <f>IF(ISERROR(VLOOKUP(C44,Parameters!$B:$C,2,0)),"-",VLOOKUP(C44,Parameters!$B:$C,2,0))</f>
        <v>-</v>
      </c>
      <c r="B44" s="181" t="str">
        <f>IF($A44="-","-",IF((COUNTIF($A$36:$A44,$A44)-1)&lt;10,$A44&amp;"-0"&amp;(COUNTIF($A$36:$A44,$A44)-1),$A44&amp;"-"&amp;(COUNTIF($A$36:$A44,$A44)-1)))</f>
        <v>-</v>
      </c>
      <c r="C44" s="79"/>
      <c r="D44" s="79"/>
      <c r="E44" s="79"/>
      <c r="F44" s="80"/>
      <c r="G44" s="81"/>
      <c r="H44" s="82"/>
      <c r="I44" s="279"/>
      <c r="J44" s="280"/>
      <c r="K44" s="103"/>
      <c r="L44" s="71">
        <f t="shared" si="12"/>
        <v>0</v>
      </c>
      <c r="M44" s="284"/>
      <c r="N44" s="285"/>
      <c r="O44" s="286"/>
      <c r="P44" s="45"/>
      <c r="Q44" s="89">
        <f t="shared" si="7"/>
        <v>0</v>
      </c>
      <c r="R44" s="87">
        <v>0</v>
      </c>
      <c r="S44" s="45"/>
      <c r="T44" s="72">
        <f t="shared" si="8"/>
        <v>0</v>
      </c>
      <c r="U44" s="69"/>
      <c r="V44" s="72">
        <f t="shared" si="9"/>
        <v>0</v>
      </c>
      <c r="W44" s="69"/>
      <c r="X44" s="72">
        <f t="shared" si="10"/>
        <v>0</v>
      </c>
      <c r="Y44" s="69"/>
      <c r="Z44" s="72">
        <f t="shared" si="11"/>
        <v>0</v>
      </c>
      <c r="AA44" s="69"/>
      <c r="AB44" s="72">
        <f t="shared" si="13"/>
        <v>0</v>
      </c>
    </row>
    <row r="45" spans="1:28" x14ac:dyDescent="0.2">
      <c r="A45" s="70" t="str">
        <f>IF(ISERROR(VLOOKUP(C45,Parameters!$B:$C,2,0)),"-",VLOOKUP(C45,Parameters!$B:$C,2,0))</f>
        <v>-</v>
      </c>
      <c r="B45" s="181" t="str">
        <f>IF($A45="-","-",IF((COUNTIF($A$36:$A45,$A45)-1)&lt;10,$A45&amp;"-0"&amp;(COUNTIF($A$36:$A45,$A45)-1),$A45&amp;"-"&amp;(COUNTIF($A$36:$A45,$A45)-1)))</f>
        <v>-</v>
      </c>
      <c r="C45" s="79"/>
      <c r="D45" s="79"/>
      <c r="E45" s="79"/>
      <c r="F45" s="80"/>
      <c r="G45" s="81"/>
      <c r="H45" s="82"/>
      <c r="I45" s="279"/>
      <c r="J45" s="280"/>
      <c r="K45" s="103"/>
      <c r="L45" s="71">
        <f t="shared" si="12"/>
        <v>0</v>
      </c>
      <c r="M45" s="284"/>
      <c r="N45" s="285"/>
      <c r="O45" s="286"/>
      <c r="P45" s="45"/>
      <c r="Q45" s="89">
        <f t="shared" si="7"/>
        <v>0</v>
      </c>
      <c r="R45" s="87">
        <v>0</v>
      </c>
      <c r="S45" s="45"/>
      <c r="T45" s="72">
        <f t="shared" si="8"/>
        <v>0</v>
      </c>
      <c r="U45" s="69"/>
      <c r="V45" s="72">
        <f t="shared" si="9"/>
        <v>0</v>
      </c>
      <c r="W45" s="69"/>
      <c r="X45" s="72">
        <f t="shared" si="10"/>
        <v>0</v>
      </c>
      <c r="Y45" s="69"/>
      <c r="Z45" s="72">
        <f t="shared" si="11"/>
        <v>0</v>
      </c>
      <c r="AA45" s="69"/>
      <c r="AB45" s="72">
        <f t="shared" si="13"/>
        <v>0</v>
      </c>
    </row>
    <row r="46" spans="1:28" x14ac:dyDescent="0.2">
      <c r="A46" s="70" t="str">
        <f>IF(ISERROR(VLOOKUP(C46,Parameters!$B:$C,2,0)),"-",VLOOKUP(C46,Parameters!$B:$C,2,0))</f>
        <v>-</v>
      </c>
      <c r="B46" s="181" t="str">
        <f>IF($A46="-","-",IF((COUNTIF($A$36:$A46,$A46)-1)&lt;10,$A46&amp;"-0"&amp;(COUNTIF($A$36:$A46,$A46)-1),$A46&amp;"-"&amp;(COUNTIF($A$36:$A46,$A46)-1)))</f>
        <v>-</v>
      </c>
      <c r="C46" s="79"/>
      <c r="D46" s="79"/>
      <c r="E46" s="79"/>
      <c r="F46" s="80"/>
      <c r="G46" s="81"/>
      <c r="H46" s="82"/>
      <c r="I46" s="279"/>
      <c r="J46" s="280"/>
      <c r="K46" s="103"/>
      <c r="L46" s="71">
        <f t="shared" si="12"/>
        <v>0</v>
      </c>
      <c r="M46" s="284"/>
      <c r="N46" s="285"/>
      <c r="O46" s="286"/>
      <c r="P46" s="45"/>
      <c r="Q46" s="89">
        <f t="shared" si="7"/>
        <v>0</v>
      </c>
      <c r="R46" s="87">
        <v>0</v>
      </c>
      <c r="S46" s="45"/>
      <c r="T46" s="72">
        <f t="shared" si="8"/>
        <v>0</v>
      </c>
      <c r="U46" s="69"/>
      <c r="V46" s="72">
        <f t="shared" si="9"/>
        <v>0</v>
      </c>
      <c r="W46" s="69"/>
      <c r="X46" s="72">
        <f t="shared" si="10"/>
        <v>0</v>
      </c>
      <c r="Y46" s="69"/>
      <c r="Z46" s="72">
        <f t="shared" si="11"/>
        <v>0</v>
      </c>
      <c r="AA46" s="69"/>
      <c r="AB46" s="72">
        <f t="shared" si="13"/>
        <v>0</v>
      </c>
    </row>
    <row r="47" spans="1:28" x14ac:dyDescent="0.2">
      <c r="A47" s="70" t="str">
        <f>IF(ISERROR(VLOOKUP(C47,Parameters!$B:$C,2,0)),"-",VLOOKUP(C47,Parameters!$B:$C,2,0))</f>
        <v>-</v>
      </c>
      <c r="B47" s="181" t="str">
        <f>IF($A47="-","-",IF((COUNTIF($A$36:$A47,$A47)-1)&lt;10,$A47&amp;"-0"&amp;(COUNTIF($A$36:$A47,$A47)-1),$A47&amp;"-"&amp;(COUNTIF($A$36:$A47,$A47)-1)))</f>
        <v>-</v>
      </c>
      <c r="C47" s="79"/>
      <c r="D47" s="79"/>
      <c r="E47" s="79"/>
      <c r="F47" s="80"/>
      <c r="G47" s="81"/>
      <c r="H47" s="82"/>
      <c r="I47" s="279"/>
      <c r="J47" s="280"/>
      <c r="K47" s="103"/>
      <c r="L47" s="71">
        <f t="shared" ref="L47:L74" si="14">IF(OR(I47=0,J47=0),0,IF(J47&lt;I47,53-I47+J47,J47-I47+1))</f>
        <v>0</v>
      </c>
      <c r="M47" s="284"/>
      <c r="N47" s="285"/>
      <c r="O47" s="286"/>
      <c r="P47" s="45"/>
      <c r="Q47" s="89">
        <f t="shared" si="7"/>
        <v>0</v>
      </c>
      <c r="R47" s="87">
        <v>0</v>
      </c>
      <c r="S47" s="45"/>
      <c r="T47" s="72">
        <f t="shared" si="8"/>
        <v>0</v>
      </c>
      <c r="U47" s="69"/>
      <c r="V47" s="72">
        <f t="shared" si="9"/>
        <v>0</v>
      </c>
      <c r="W47" s="69"/>
      <c r="X47" s="72">
        <f t="shared" si="10"/>
        <v>0</v>
      </c>
      <c r="Y47" s="69"/>
      <c r="Z47" s="72">
        <f t="shared" si="11"/>
        <v>0</v>
      </c>
      <c r="AA47" s="69"/>
      <c r="AB47" s="72">
        <f t="shared" ref="AB47:AB74" si="15">T47+V47+X47+Z47</f>
        <v>0</v>
      </c>
    </row>
    <row r="48" spans="1:28" x14ac:dyDescent="0.2">
      <c r="A48" s="70" t="str">
        <f>IF(ISERROR(VLOOKUP(C48,Parameters!$B:$C,2,0)),"-",VLOOKUP(C48,Parameters!$B:$C,2,0))</f>
        <v>-</v>
      </c>
      <c r="B48" s="181" t="str">
        <f>IF($A48="-","-",IF((COUNTIF($A$36:$A48,$A48)-1)&lt;10,$A48&amp;"-0"&amp;(COUNTIF($A$36:$A48,$A48)-1),$A48&amp;"-"&amp;(COUNTIF($A$36:$A48,$A48)-1)))</f>
        <v>-</v>
      </c>
      <c r="C48" s="79"/>
      <c r="D48" s="79"/>
      <c r="E48" s="79"/>
      <c r="F48" s="80"/>
      <c r="G48" s="81"/>
      <c r="H48" s="82"/>
      <c r="I48" s="279"/>
      <c r="J48" s="280"/>
      <c r="K48" s="103"/>
      <c r="L48" s="71">
        <f t="shared" si="14"/>
        <v>0</v>
      </c>
      <c r="M48" s="284"/>
      <c r="N48" s="285"/>
      <c r="O48" s="286"/>
      <c r="P48" s="45"/>
      <c r="Q48" s="89">
        <f t="shared" si="7"/>
        <v>0</v>
      </c>
      <c r="R48" s="87">
        <v>0</v>
      </c>
      <c r="S48" s="45"/>
      <c r="T48" s="72">
        <f t="shared" si="8"/>
        <v>0</v>
      </c>
      <c r="U48" s="69"/>
      <c r="V48" s="72">
        <f t="shared" si="9"/>
        <v>0</v>
      </c>
      <c r="W48" s="69"/>
      <c r="X48" s="72">
        <f t="shared" si="10"/>
        <v>0</v>
      </c>
      <c r="Y48" s="69"/>
      <c r="Z48" s="72">
        <f t="shared" si="11"/>
        <v>0</v>
      </c>
      <c r="AA48" s="69"/>
      <c r="AB48" s="72">
        <f t="shared" si="15"/>
        <v>0</v>
      </c>
    </row>
    <row r="49" spans="1:28" x14ac:dyDescent="0.2">
      <c r="A49" s="70" t="str">
        <f>IF(ISERROR(VLOOKUP(C49,Parameters!$B:$C,2,0)),"-",VLOOKUP(C49,Parameters!$B:$C,2,0))</f>
        <v>-</v>
      </c>
      <c r="B49" s="181" t="str">
        <f>IF($A49="-","-",IF((COUNTIF($A$36:$A49,$A49)-1)&lt;10,$A49&amp;"-0"&amp;(COUNTIF($A$36:$A49,$A49)-1),$A49&amp;"-"&amp;(COUNTIF($A$36:$A49,$A49)-1)))</f>
        <v>-</v>
      </c>
      <c r="C49" s="79"/>
      <c r="D49" s="79"/>
      <c r="E49" s="79"/>
      <c r="F49" s="80"/>
      <c r="G49" s="81"/>
      <c r="H49" s="82"/>
      <c r="I49" s="279"/>
      <c r="J49" s="280"/>
      <c r="K49" s="103"/>
      <c r="L49" s="71">
        <f t="shared" si="14"/>
        <v>0</v>
      </c>
      <c r="M49" s="284"/>
      <c r="N49" s="285"/>
      <c r="O49" s="286"/>
      <c r="P49" s="45"/>
      <c r="Q49" s="89">
        <f t="shared" si="7"/>
        <v>0</v>
      </c>
      <c r="R49" s="87">
        <v>0</v>
      </c>
      <c r="S49" s="45"/>
      <c r="T49" s="72">
        <f t="shared" si="8"/>
        <v>0</v>
      </c>
      <c r="U49" s="69"/>
      <c r="V49" s="72">
        <f t="shared" si="9"/>
        <v>0</v>
      </c>
      <c r="W49" s="69"/>
      <c r="X49" s="72">
        <f t="shared" si="10"/>
        <v>0</v>
      </c>
      <c r="Y49" s="69"/>
      <c r="Z49" s="72">
        <f t="shared" si="11"/>
        <v>0</v>
      </c>
      <c r="AA49" s="69"/>
      <c r="AB49" s="72">
        <f t="shared" si="15"/>
        <v>0</v>
      </c>
    </row>
    <row r="50" spans="1:28" x14ac:dyDescent="0.2">
      <c r="A50" s="70" t="str">
        <f>IF(ISERROR(VLOOKUP(C50,Parameters!$B:$C,2,0)),"-",VLOOKUP(C50,Parameters!$B:$C,2,0))</f>
        <v>-</v>
      </c>
      <c r="B50" s="181" t="str">
        <f>IF($A50="-","-",IF((COUNTIF($A$36:$A50,$A50)-1)&lt;10,$A50&amp;"-0"&amp;(COUNTIF($A$36:$A50,$A50)-1),$A50&amp;"-"&amp;(COUNTIF($A$36:$A50,$A50)-1)))</f>
        <v>-</v>
      </c>
      <c r="C50" s="79"/>
      <c r="D50" s="79"/>
      <c r="E50" s="79"/>
      <c r="F50" s="80"/>
      <c r="G50" s="81"/>
      <c r="H50" s="82"/>
      <c r="I50" s="279"/>
      <c r="J50" s="280"/>
      <c r="K50" s="103"/>
      <c r="L50" s="71">
        <f t="shared" si="14"/>
        <v>0</v>
      </c>
      <c r="M50" s="284"/>
      <c r="N50" s="285"/>
      <c r="O50" s="286"/>
      <c r="P50" s="45"/>
      <c r="Q50" s="89">
        <f t="shared" si="7"/>
        <v>0</v>
      </c>
      <c r="R50" s="87">
        <v>0</v>
      </c>
      <c r="S50" s="45"/>
      <c r="T50" s="72">
        <f t="shared" si="8"/>
        <v>0</v>
      </c>
      <c r="U50" s="69"/>
      <c r="V50" s="72">
        <f t="shared" si="9"/>
        <v>0</v>
      </c>
      <c r="W50" s="69"/>
      <c r="X50" s="72">
        <f t="shared" si="10"/>
        <v>0</v>
      </c>
      <c r="Y50" s="69"/>
      <c r="Z50" s="72">
        <f t="shared" si="11"/>
        <v>0</v>
      </c>
      <c r="AA50" s="69"/>
      <c r="AB50" s="72">
        <f t="shared" si="15"/>
        <v>0</v>
      </c>
    </row>
    <row r="51" spans="1:28" x14ac:dyDescent="0.2">
      <c r="A51" s="70" t="str">
        <f>IF(ISERROR(VLOOKUP(C51,Parameters!$B:$C,2,0)),"-",VLOOKUP(C51,Parameters!$B:$C,2,0))</f>
        <v>-</v>
      </c>
      <c r="B51" s="181" t="str">
        <f>IF($A51="-","-",IF((COUNTIF($A$36:$A51,$A51)-1)&lt;10,$A51&amp;"-0"&amp;(COUNTIF($A$36:$A51,$A51)-1),$A51&amp;"-"&amp;(COUNTIF($A$36:$A51,$A51)-1)))</f>
        <v>-</v>
      </c>
      <c r="C51" s="79"/>
      <c r="D51" s="79"/>
      <c r="E51" s="79"/>
      <c r="F51" s="80"/>
      <c r="G51" s="81"/>
      <c r="H51" s="82"/>
      <c r="I51" s="279"/>
      <c r="J51" s="280"/>
      <c r="K51" s="103"/>
      <c r="L51" s="71">
        <f t="shared" si="14"/>
        <v>0</v>
      </c>
      <c r="M51" s="284"/>
      <c r="N51" s="285"/>
      <c r="O51" s="286"/>
      <c r="P51" s="45"/>
      <c r="Q51" s="89">
        <f t="shared" si="7"/>
        <v>0</v>
      </c>
      <c r="R51" s="87">
        <v>0</v>
      </c>
      <c r="S51" s="45"/>
      <c r="T51" s="72">
        <f t="shared" si="8"/>
        <v>0</v>
      </c>
      <c r="U51" s="69"/>
      <c r="V51" s="72">
        <f t="shared" si="9"/>
        <v>0</v>
      </c>
      <c r="W51" s="69"/>
      <c r="X51" s="72">
        <f t="shared" si="10"/>
        <v>0</v>
      </c>
      <c r="Y51" s="69"/>
      <c r="Z51" s="72">
        <f t="shared" si="11"/>
        <v>0</v>
      </c>
      <c r="AA51" s="69"/>
      <c r="AB51" s="72">
        <f t="shared" si="15"/>
        <v>0</v>
      </c>
    </row>
    <row r="52" spans="1:28" x14ac:dyDescent="0.2">
      <c r="A52" s="70" t="str">
        <f>IF(ISERROR(VLOOKUP(C52,Parameters!$B:$C,2,0)),"-",VLOOKUP(C52,Parameters!$B:$C,2,0))</f>
        <v>-</v>
      </c>
      <c r="B52" s="181" t="str">
        <f>IF($A52="-","-",IF((COUNTIF($A$36:$A52,$A52)-1)&lt;10,$A52&amp;"-0"&amp;(COUNTIF($A$36:$A52,$A52)-1),$A52&amp;"-"&amp;(COUNTIF($A$36:$A52,$A52)-1)))</f>
        <v>-</v>
      </c>
      <c r="C52" s="79"/>
      <c r="D52" s="79"/>
      <c r="E52" s="79"/>
      <c r="F52" s="80"/>
      <c r="G52" s="81"/>
      <c r="H52" s="82"/>
      <c r="I52" s="279"/>
      <c r="J52" s="280"/>
      <c r="K52" s="103"/>
      <c r="L52" s="71">
        <f t="shared" si="14"/>
        <v>0</v>
      </c>
      <c r="M52" s="284"/>
      <c r="N52" s="285"/>
      <c r="O52" s="286"/>
      <c r="P52" s="45"/>
      <c r="Q52" s="89">
        <f t="shared" si="7"/>
        <v>0</v>
      </c>
      <c r="R52" s="87">
        <v>0</v>
      </c>
      <c r="S52" s="45"/>
      <c r="T52" s="72">
        <f t="shared" si="8"/>
        <v>0</v>
      </c>
      <c r="U52" s="69"/>
      <c r="V52" s="72">
        <f t="shared" si="9"/>
        <v>0</v>
      </c>
      <c r="W52" s="69"/>
      <c r="X52" s="72">
        <f t="shared" si="10"/>
        <v>0</v>
      </c>
      <c r="Y52" s="69"/>
      <c r="Z52" s="72">
        <f t="shared" si="11"/>
        <v>0</v>
      </c>
      <c r="AA52" s="69"/>
      <c r="AB52" s="72">
        <f t="shared" si="15"/>
        <v>0</v>
      </c>
    </row>
    <row r="53" spans="1:28" x14ac:dyDescent="0.2">
      <c r="A53" s="70" t="str">
        <f>IF(ISERROR(VLOOKUP(C53,Parameters!$B:$C,2,0)),"-",VLOOKUP(C53,Parameters!$B:$C,2,0))</f>
        <v>-</v>
      </c>
      <c r="B53" s="181" t="str">
        <f>IF($A53="-","-",IF((COUNTIF($A$36:$A53,$A53)-1)&lt;10,$A53&amp;"-0"&amp;(COUNTIF($A$36:$A53,$A53)-1),$A53&amp;"-"&amp;(COUNTIF($A$36:$A53,$A53)-1)))</f>
        <v>-</v>
      </c>
      <c r="C53" s="79"/>
      <c r="D53" s="79"/>
      <c r="E53" s="79"/>
      <c r="F53" s="80"/>
      <c r="G53" s="81"/>
      <c r="H53" s="82"/>
      <c r="I53" s="279"/>
      <c r="J53" s="280"/>
      <c r="K53" s="103"/>
      <c r="L53" s="71">
        <f t="shared" si="14"/>
        <v>0</v>
      </c>
      <c r="M53" s="284"/>
      <c r="N53" s="285"/>
      <c r="O53" s="286"/>
      <c r="P53" s="45"/>
      <c r="Q53" s="89">
        <f t="shared" si="7"/>
        <v>0</v>
      </c>
      <c r="R53" s="87">
        <v>0</v>
      </c>
      <c r="S53" s="45"/>
      <c r="T53" s="72">
        <f t="shared" si="8"/>
        <v>0</v>
      </c>
      <c r="U53" s="69"/>
      <c r="V53" s="72">
        <f t="shared" si="9"/>
        <v>0</v>
      </c>
      <c r="W53" s="69"/>
      <c r="X53" s="72">
        <f t="shared" si="10"/>
        <v>0</v>
      </c>
      <c r="Y53" s="69"/>
      <c r="Z53" s="72">
        <f t="shared" si="11"/>
        <v>0</v>
      </c>
      <c r="AA53" s="69"/>
      <c r="AB53" s="72">
        <f t="shared" si="15"/>
        <v>0</v>
      </c>
    </row>
    <row r="54" spans="1:28" x14ac:dyDescent="0.2">
      <c r="A54" s="70" t="str">
        <f>IF(ISERROR(VLOOKUP(C54,Parameters!$B:$C,2,0)),"-",VLOOKUP(C54,Parameters!$B:$C,2,0))</f>
        <v>-</v>
      </c>
      <c r="B54" s="181" t="str">
        <f>IF($A54="-","-",IF((COUNTIF($A$36:$A54,$A54)-1)&lt;10,$A54&amp;"-0"&amp;(COUNTIF($A$36:$A54,$A54)-1),$A54&amp;"-"&amp;(COUNTIF($A$36:$A54,$A54)-1)))</f>
        <v>-</v>
      </c>
      <c r="C54" s="79"/>
      <c r="D54" s="79"/>
      <c r="E54" s="79"/>
      <c r="F54" s="80"/>
      <c r="G54" s="81"/>
      <c r="H54" s="82"/>
      <c r="I54" s="279"/>
      <c r="J54" s="280"/>
      <c r="K54" s="103"/>
      <c r="L54" s="71">
        <f t="shared" si="14"/>
        <v>0</v>
      </c>
      <c r="M54" s="284"/>
      <c r="N54" s="285"/>
      <c r="O54" s="286"/>
      <c r="P54" s="45"/>
      <c r="Q54" s="89">
        <f t="shared" si="7"/>
        <v>0</v>
      </c>
      <c r="R54" s="87">
        <v>0</v>
      </c>
      <c r="S54" s="45"/>
      <c r="T54" s="72">
        <f t="shared" si="8"/>
        <v>0</v>
      </c>
      <c r="U54" s="69"/>
      <c r="V54" s="72">
        <f t="shared" si="9"/>
        <v>0</v>
      </c>
      <c r="W54" s="69"/>
      <c r="X54" s="72">
        <f t="shared" si="10"/>
        <v>0</v>
      </c>
      <c r="Y54" s="69"/>
      <c r="Z54" s="72">
        <f t="shared" si="11"/>
        <v>0</v>
      </c>
      <c r="AA54" s="69"/>
      <c r="AB54" s="72">
        <f t="shared" si="15"/>
        <v>0</v>
      </c>
    </row>
    <row r="55" spans="1:28" x14ac:dyDescent="0.2">
      <c r="A55" s="70" t="str">
        <f>IF(ISERROR(VLOOKUP(C55,Parameters!$B:$C,2,0)),"-",VLOOKUP(C55,Parameters!$B:$C,2,0))</f>
        <v>-</v>
      </c>
      <c r="B55" s="181" t="str">
        <f>IF($A55="-","-",IF((COUNTIF($A$36:$A55,$A55)-1)&lt;10,$A55&amp;"-0"&amp;(COUNTIF($A$36:$A55,$A55)-1),$A55&amp;"-"&amp;(COUNTIF($A$36:$A55,$A55)-1)))</f>
        <v>-</v>
      </c>
      <c r="C55" s="79"/>
      <c r="D55" s="79"/>
      <c r="E55" s="79"/>
      <c r="F55" s="80"/>
      <c r="G55" s="81"/>
      <c r="H55" s="82"/>
      <c r="I55" s="279"/>
      <c r="J55" s="280"/>
      <c r="K55" s="103"/>
      <c r="L55" s="71">
        <f t="shared" si="14"/>
        <v>0</v>
      </c>
      <c r="M55" s="284"/>
      <c r="N55" s="285"/>
      <c r="O55" s="286"/>
      <c r="P55" s="45"/>
      <c r="Q55" s="89">
        <f t="shared" si="7"/>
        <v>0</v>
      </c>
      <c r="R55" s="87">
        <v>0</v>
      </c>
      <c r="S55" s="45"/>
      <c r="T55" s="72">
        <f t="shared" si="8"/>
        <v>0</v>
      </c>
      <c r="U55" s="69"/>
      <c r="V55" s="72">
        <f t="shared" si="9"/>
        <v>0</v>
      </c>
      <c r="W55" s="69"/>
      <c r="X55" s="72">
        <f t="shared" si="10"/>
        <v>0</v>
      </c>
      <c r="Y55" s="69"/>
      <c r="Z55" s="72">
        <f t="shared" si="11"/>
        <v>0</v>
      </c>
      <c r="AA55" s="69"/>
      <c r="AB55" s="72">
        <f t="shared" si="15"/>
        <v>0</v>
      </c>
    </row>
    <row r="56" spans="1:28" x14ac:dyDescent="0.2">
      <c r="A56" s="70" t="str">
        <f>IF(ISERROR(VLOOKUP(C56,Parameters!$B:$C,2,0)),"-",VLOOKUP(C56,Parameters!$B:$C,2,0))</f>
        <v>-</v>
      </c>
      <c r="B56" s="181" t="str">
        <f>IF($A56="-","-",IF((COUNTIF($A$36:$A56,$A56)-1)&lt;10,$A56&amp;"-0"&amp;(COUNTIF($A$36:$A56,$A56)-1),$A56&amp;"-"&amp;(COUNTIF($A$36:$A56,$A56)-1)))</f>
        <v>-</v>
      </c>
      <c r="C56" s="79"/>
      <c r="D56" s="79"/>
      <c r="E56" s="79"/>
      <c r="F56" s="80"/>
      <c r="G56" s="81"/>
      <c r="H56" s="82"/>
      <c r="I56" s="279"/>
      <c r="J56" s="280"/>
      <c r="K56" s="103"/>
      <c r="L56" s="71">
        <f t="shared" si="14"/>
        <v>0</v>
      </c>
      <c r="M56" s="284"/>
      <c r="N56" s="285"/>
      <c r="O56" s="286"/>
      <c r="P56" s="45"/>
      <c r="Q56" s="89">
        <f t="shared" si="7"/>
        <v>0</v>
      </c>
      <c r="R56" s="87">
        <v>0</v>
      </c>
      <c r="S56" s="45"/>
      <c r="T56" s="72">
        <f t="shared" si="8"/>
        <v>0</v>
      </c>
      <c r="U56" s="69"/>
      <c r="V56" s="72">
        <f t="shared" si="9"/>
        <v>0</v>
      </c>
      <c r="W56" s="69"/>
      <c r="X56" s="72">
        <f t="shared" si="10"/>
        <v>0</v>
      </c>
      <c r="Y56" s="69"/>
      <c r="Z56" s="72">
        <f t="shared" si="11"/>
        <v>0</v>
      </c>
      <c r="AA56" s="69"/>
      <c r="AB56" s="72">
        <f t="shared" si="15"/>
        <v>0</v>
      </c>
    </row>
    <row r="57" spans="1:28" x14ac:dyDescent="0.2">
      <c r="A57" s="70" t="str">
        <f>IF(ISERROR(VLOOKUP(C57,Parameters!$B:$C,2,0)),"-",VLOOKUP(C57,Parameters!$B:$C,2,0))</f>
        <v>-</v>
      </c>
      <c r="B57" s="181" t="str">
        <f>IF($A57="-","-",IF((COUNTIF($A$36:$A57,$A57)-1)&lt;10,$A57&amp;"-0"&amp;(COUNTIF($A$36:$A57,$A57)-1),$A57&amp;"-"&amp;(COUNTIF($A$36:$A57,$A57)-1)))</f>
        <v>-</v>
      </c>
      <c r="C57" s="79"/>
      <c r="D57" s="79"/>
      <c r="E57" s="79"/>
      <c r="F57" s="80"/>
      <c r="G57" s="81"/>
      <c r="H57" s="82"/>
      <c r="I57" s="279"/>
      <c r="J57" s="280"/>
      <c r="K57" s="103"/>
      <c r="L57" s="71">
        <f t="shared" si="14"/>
        <v>0</v>
      </c>
      <c r="M57" s="284"/>
      <c r="N57" s="285"/>
      <c r="O57" s="286"/>
      <c r="P57" s="45"/>
      <c r="Q57" s="89">
        <f t="shared" si="7"/>
        <v>0</v>
      </c>
      <c r="R57" s="87">
        <v>0</v>
      </c>
      <c r="S57" s="45"/>
      <c r="T57" s="72">
        <f t="shared" si="8"/>
        <v>0</v>
      </c>
      <c r="U57" s="69"/>
      <c r="V57" s="72">
        <f t="shared" si="9"/>
        <v>0</v>
      </c>
      <c r="W57" s="69"/>
      <c r="X57" s="72">
        <f t="shared" si="10"/>
        <v>0</v>
      </c>
      <c r="Y57" s="69"/>
      <c r="Z57" s="72">
        <f t="shared" si="11"/>
        <v>0</v>
      </c>
      <c r="AA57" s="69"/>
      <c r="AB57" s="72">
        <f t="shared" si="15"/>
        <v>0</v>
      </c>
    </row>
    <row r="58" spans="1:28" x14ac:dyDescent="0.2">
      <c r="A58" s="70" t="str">
        <f>IF(ISERROR(VLOOKUP(C58,Parameters!$B:$C,2,0)),"-",VLOOKUP(C58,Parameters!$B:$C,2,0))</f>
        <v>-</v>
      </c>
      <c r="B58" s="181" t="str">
        <f>IF($A58="-","-",IF((COUNTIF($A$36:$A58,$A58)-1)&lt;10,$A58&amp;"-0"&amp;(COUNTIF($A$36:$A58,$A58)-1),$A58&amp;"-"&amp;(COUNTIF($A$36:$A58,$A58)-1)))</f>
        <v>-</v>
      </c>
      <c r="C58" s="79"/>
      <c r="D58" s="79"/>
      <c r="E58" s="79"/>
      <c r="F58" s="80"/>
      <c r="G58" s="81"/>
      <c r="H58" s="82"/>
      <c r="I58" s="279"/>
      <c r="J58" s="280"/>
      <c r="K58" s="103"/>
      <c r="L58" s="71">
        <f t="shared" si="14"/>
        <v>0</v>
      </c>
      <c r="M58" s="284"/>
      <c r="N58" s="285"/>
      <c r="O58" s="286"/>
      <c r="P58" s="45"/>
      <c r="Q58" s="89">
        <f t="shared" si="7"/>
        <v>0</v>
      </c>
      <c r="R58" s="87">
        <v>0</v>
      </c>
      <c r="S58" s="45"/>
      <c r="T58" s="72">
        <f t="shared" si="8"/>
        <v>0</v>
      </c>
      <c r="U58" s="69"/>
      <c r="V58" s="72">
        <f t="shared" si="9"/>
        <v>0</v>
      </c>
      <c r="W58" s="69"/>
      <c r="X58" s="72">
        <f t="shared" si="10"/>
        <v>0</v>
      </c>
      <c r="Y58" s="69"/>
      <c r="Z58" s="72">
        <f t="shared" si="11"/>
        <v>0</v>
      </c>
      <c r="AA58" s="69"/>
      <c r="AB58" s="72">
        <f t="shared" si="15"/>
        <v>0</v>
      </c>
    </row>
    <row r="59" spans="1:28" x14ac:dyDescent="0.2">
      <c r="A59" s="70" t="str">
        <f>IF(ISERROR(VLOOKUP(C59,Parameters!$B:$C,2,0)),"-",VLOOKUP(C59,Parameters!$B:$C,2,0))</f>
        <v>-</v>
      </c>
      <c r="B59" s="181" t="str">
        <f>IF($A59="-","-",IF((COUNTIF($A$36:$A59,$A59)-1)&lt;10,$A59&amp;"-0"&amp;(COUNTIF($A$36:$A59,$A59)-1),$A59&amp;"-"&amp;(COUNTIF($A$36:$A59,$A59)-1)))</f>
        <v>-</v>
      </c>
      <c r="C59" s="79"/>
      <c r="D59" s="79"/>
      <c r="E59" s="79"/>
      <c r="F59" s="80"/>
      <c r="G59" s="81"/>
      <c r="H59" s="82"/>
      <c r="I59" s="279"/>
      <c r="J59" s="280"/>
      <c r="K59" s="103"/>
      <c r="L59" s="71">
        <f t="shared" si="14"/>
        <v>0</v>
      </c>
      <c r="M59" s="284"/>
      <c r="N59" s="285"/>
      <c r="O59" s="286"/>
      <c r="P59" s="45"/>
      <c r="Q59" s="89">
        <f t="shared" si="7"/>
        <v>0</v>
      </c>
      <c r="R59" s="87">
        <v>0</v>
      </c>
      <c r="S59" s="45"/>
      <c r="T59" s="72">
        <f t="shared" si="8"/>
        <v>0</v>
      </c>
      <c r="U59" s="69"/>
      <c r="V59" s="72">
        <f t="shared" si="9"/>
        <v>0</v>
      </c>
      <c r="W59" s="69"/>
      <c r="X59" s="72">
        <f t="shared" si="10"/>
        <v>0</v>
      </c>
      <c r="Y59" s="69"/>
      <c r="Z59" s="72">
        <f t="shared" si="11"/>
        <v>0</v>
      </c>
      <c r="AA59" s="69"/>
      <c r="AB59" s="72">
        <f t="shared" si="15"/>
        <v>0</v>
      </c>
    </row>
    <row r="60" spans="1:28" x14ac:dyDescent="0.2">
      <c r="A60" s="70" t="str">
        <f>IF(ISERROR(VLOOKUP(C60,Parameters!$B:$C,2,0)),"-",VLOOKUP(C60,Parameters!$B:$C,2,0))</f>
        <v>-</v>
      </c>
      <c r="B60" s="181" t="str">
        <f>IF($A60="-","-",IF((COUNTIF($A$36:$A60,$A60)-1)&lt;10,$A60&amp;"-0"&amp;(COUNTIF($A$36:$A60,$A60)-1),$A60&amp;"-"&amp;(COUNTIF($A$36:$A60,$A60)-1)))</f>
        <v>-</v>
      </c>
      <c r="C60" s="79"/>
      <c r="D60" s="79"/>
      <c r="E60" s="79"/>
      <c r="F60" s="80"/>
      <c r="G60" s="81"/>
      <c r="H60" s="82"/>
      <c r="I60" s="279"/>
      <c r="J60" s="280"/>
      <c r="K60" s="103"/>
      <c r="L60" s="71">
        <f t="shared" si="14"/>
        <v>0</v>
      </c>
      <c r="M60" s="284"/>
      <c r="N60" s="285"/>
      <c r="O60" s="286"/>
      <c r="P60" s="45"/>
      <c r="Q60" s="89">
        <f t="shared" si="7"/>
        <v>0</v>
      </c>
      <c r="R60" s="87">
        <v>0</v>
      </c>
      <c r="S60" s="45"/>
      <c r="T60" s="72">
        <f t="shared" si="8"/>
        <v>0</v>
      </c>
      <c r="U60" s="69"/>
      <c r="V60" s="72">
        <f t="shared" si="9"/>
        <v>0</v>
      </c>
      <c r="W60" s="69"/>
      <c r="X60" s="72">
        <f t="shared" si="10"/>
        <v>0</v>
      </c>
      <c r="Y60" s="69"/>
      <c r="Z60" s="72">
        <f t="shared" si="11"/>
        <v>0</v>
      </c>
      <c r="AA60" s="69"/>
      <c r="AB60" s="72">
        <f t="shared" si="15"/>
        <v>0</v>
      </c>
    </row>
    <row r="61" spans="1:28" x14ac:dyDescent="0.2">
      <c r="A61" s="70" t="str">
        <f>IF(ISERROR(VLOOKUP(C61,Parameters!$B:$C,2,0)),"-",VLOOKUP(C61,Parameters!$B:$C,2,0))</f>
        <v>-</v>
      </c>
      <c r="B61" s="181" t="str">
        <f>IF($A61="-","-",IF((COUNTIF($A$36:$A61,$A61)-1)&lt;10,$A61&amp;"-0"&amp;(COUNTIF($A$36:$A61,$A61)-1),$A61&amp;"-"&amp;(COUNTIF($A$36:$A61,$A61)-1)))</f>
        <v>-</v>
      </c>
      <c r="C61" s="79"/>
      <c r="D61" s="79"/>
      <c r="E61" s="79"/>
      <c r="F61" s="80"/>
      <c r="G61" s="81"/>
      <c r="H61" s="82"/>
      <c r="I61" s="279"/>
      <c r="J61" s="280"/>
      <c r="K61" s="103"/>
      <c r="L61" s="71">
        <f t="shared" si="14"/>
        <v>0</v>
      </c>
      <c r="M61" s="284"/>
      <c r="N61" s="285"/>
      <c r="O61" s="286"/>
      <c r="P61" s="45"/>
      <c r="Q61" s="89">
        <f t="shared" si="7"/>
        <v>0</v>
      </c>
      <c r="R61" s="87">
        <v>0</v>
      </c>
      <c r="S61" s="45"/>
      <c r="T61" s="72">
        <f t="shared" si="8"/>
        <v>0</v>
      </c>
      <c r="U61" s="69"/>
      <c r="V61" s="72">
        <f t="shared" si="9"/>
        <v>0</v>
      </c>
      <c r="W61" s="69"/>
      <c r="X61" s="72">
        <f t="shared" si="10"/>
        <v>0</v>
      </c>
      <c r="Y61" s="69"/>
      <c r="Z61" s="72">
        <f t="shared" si="11"/>
        <v>0</v>
      </c>
      <c r="AA61" s="69"/>
      <c r="AB61" s="72">
        <f t="shared" si="15"/>
        <v>0</v>
      </c>
    </row>
    <row r="62" spans="1:28" x14ac:dyDescent="0.2">
      <c r="A62" s="70" t="str">
        <f>IF(ISERROR(VLOOKUP(C62,Parameters!$B:$C,2,0)),"-",VLOOKUP(C62,Parameters!$B:$C,2,0))</f>
        <v>-</v>
      </c>
      <c r="B62" s="181" t="str">
        <f>IF($A62="-","-",IF((COUNTIF($A$36:$A62,$A62)-1)&lt;10,$A62&amp;"-0"&amp;(COUNTIF($A$36:$A62,$A62)-1),$A62&amp;"-"&amp;(COUNTIF($A$36:$A62,$A62)-1)))</f>
        <v>-</v>
      </c>
      <c r="C62" s="79"/>
      <c r="D62" s="79"/>
      <c r="E62" s="79"/>
      <c r="F62" s="80"/>
      <c r="G62" s="81"/>
      <c r="H62" s="82"/>
      <c r="I62" s="279"/>
      <c r="J62" s="280"/>
      <c r="K62" s="103"/>
      <c r="L62" s="71">
        <f t="shared" si="14"/>
        <v>0</v>
      </c>
      <c r="M62" s="284"/>
      <c r="N62" s="285"/>
      <c r="O62" s="286"/>
      <c r="P62" s="45"/>
      <c r="Q62" s="89">
        <f t="shared" si="7"/>
        <v>0</v>
      </c>
      <c r="R62" s="87">
        <v>0</v>
      </c>
      <c r="S62" s="45"/>
      <c r="T62" s="72">
        <f t="shared" si="8"/>
        <v>0</v>
      </c>
      <c r="U62" s="69"/>
      <c r="V62" s="72">
        <f t="shared" si="9"/>
        <v>0</v>
      </c>
      <c r="W62" s="69"/>
      <c r="X62" s="72">
        <f t="shared" si="10"/>
        <v>0</v>
      </c>
      <c r="Y62" s="69"/>
      <c r="Z62" s="72">
        <f t="shared" si="11"/>
        <v>0</v>
      </c>
      <c r="AA62" s="69"/>
      <c r="AB62" s="72">
        <f t="shared" si="15"/>
        <v>0</v>
      </c>
    </row>
    <row r="63" spans="1:28" x14ac:dyDescent="0.2">
      <c r="A63" s="70" t="str">
        <f>IF(ISERROR(VLOOKUP(C63,Parameters!$B:$C,2,0)),"-",VLOOKUP(C63,Parameters!$B:$C,2,0))</f>
        <v>-</v>
      </c>
      <c r="B63" s="181" t="str">
        <f>IF($A63="-","-",IF((COUNTIF($A$36:$A63,$A63)-1)&lt;10,$A63&amp;"-0"&amp;(COUNTIF($A$36:$A63,$A63)-1),$A63&amp;"-"&amp;(COUNTIF($A$36:$A63,$A63)-1)))</f>
        <v>-</v>
      </c>
      <c r="C63" s="79"/>
      <c r="D63" s="79"/>
      <c r="E63" s="79"/>
      <c r="F63" s="80"/>
      <c r="G63" s="81"/>
      <c r="H63" s="82"/>
      <c r="I63" s="279"/>
      <c r="J63" s="280"/>
      <c r="K63" s="103"/>
      <c r="L63" s="71">
        <f t="shared" si="14"/>
        <v>0</v>
      </c>
      <c r="M63" s="284"/>
      <c r="N63" s="285"/>
      <c r="O63" s="286"/>
      <c r="P63" s="45"/>
      <c r="Q63" s="89">
        <f t="shared" si="7"/>
        <v>0</v>
      </c>
      <c r="R63" s="87">
        <v>0</v>
      </c>
      <c r="S63" s="45"/>
      <c r="T63" s="72">
        <f t="shared" si="8"/>
        <v>0</v>
      </c>
      <c r="U63" s="69"/>
      <c r="V63" s="72">
        <f t="shared" si="9"/>
        <v>0</v>
      </c>
      <c r="W63" s="69"/>
      <c r="X63" s="72">
        <f t="shared" si="10"/>
        <v>0</v>
      </c>
      <c r="Y63" s="69"/>
      <c r="Z63" s="72">
        <f t="shared" si="11"/>
        <v>0</v>
      </c>
      <c r="AA63" s="69"/>
      <c r="AB63" s="72">
        <f t="shared" si="15"/>
        <v>0</v>
      </c>
    </row>
    <row r="64" spans="1:28" x14ac:dyDescent="0.2">
      <c r="A64" s="70" t="str">
        <f>IF(ISERROR(VLOOKUP(C64,Parameters!$B:$C,2,0)),"-",VLOOKUP(C64,Parameters!$B:$C,2,0))</f>
        <v>-</v>
      </c>
      <c r="B64" s="181" t="str">
        <f>IF($A64="-","-",IF((COUNTIF($A$36:$A64,$A64)-1)&lt;10,$A64&amp;"-0"&amp;(COUNTIF($A$36:$A64,$A64)-1),$A64&amp;"-"&amp;(COUNTIF($A$36:$A64,$A64)-1)))</f>
        <v>-</v>
      </c>
      <c r="C64" s="79"/>
      <c r="D64" s="79"/>
      <c r="E64" s="79"/>
      <c r="F64" s="80"/>
      <c r="G64" s="81"/>
      <c r="H64" s="82"/>
      <c r="I64" s="279"/>
      <c r="J64" s="280"/>
      <c r="K64" s="103"/>
      <c r="L64" s="71">
        <f t="shared" si="14"/>
        <v>0</v>
      </c>
      <c r="M64" s="284"/>
      <c r="N64" s="285"/>
      <c r="O64" s="286"/>
      <c r="P64" s="45"/>
      <c r="Q64" s="89">
        <f t="shared" si="7"/>
        <v>0</v>
      </c>
      <c r="R64" s="87">
        <v>0</v>
      </c>
      <c r="S64" s="45"/>
      <c r="T64" s="72">
        <f t="shared" si="8"/>
        <v>0</v>
      </c>
      <c r="U64" s="69"/>
      <c r="V64" s="72">
        <f t="shared" si="9"/>
        <v>0</v>
      </c>
      <c r="W64" s="69"/>
      <c r="X64" s="72">
        <f t="shared" si="10"/>
        <v>0</v>
      </c>
      <c r="Y64" s="69"/>
      <c r="Z64" s="72">
        <f t="shared" si="11"/>
        <v>0</v>
      </c>
      <c r="AA64" s="69"/>
      <c r="AB64" s="72">
        <f t="shared" si="15"/>
        <v>0</v>
      </c>
    </row>
    <row r="65" spans="1:28" x14ac:dyDescent="0.2">
      <c r="A65" s="70" t="str">
        <f>IF(ISERROR(VLOOKUP(C65,Parameters!$B:$C,2,0)),"-",VLOOKUP(C65,Parameters!$B:$C,2,0))</f>
        <v>-</v>
      </c>
      <c r="B65" s="181" t="str">
        <f>IF($A65="-","-",IF((COUNTIF($A$36:$A65,$A65)-1)&lt;10,$A65&amp;"-0"&amp;(COUNTIF($A$36:$A65,$A65)-1),$A65&amp;"-"&amp;(COUNTIF($A$36:$A65,$A65)-1)))</f>
        <v>-</v>
      </c>
      <c r="C65" s="79"/>
      <c r="D65" s="79"/>
      <c r="E65" s="79"/>
      <c r="F65" s="80"/>
      <c r="G65" s="81"/>
      <c r="H65" s="82"/>
      <c r="I65" s="279"/>
      <c r="J65" s="280"/>
      <c r="K65" s="103"/>
      <c r="L65" s="71">
        <f t="shared" si="14"/>
        <v>0</v>
      </c>
      <c r="M65" s="284"/>
      <c r="N65" s="285"/>
      <c r="O65" s="286"/>
      <c r="P65" s="45"/>
      <c r="Q65" s="89">
        <f t="shared" si="7"/>
        <v>0</v>
      </c>
      <c r="R65" s="87">
        <v>0</v>
      </c>
      <c r="S65" s="45"/>
      <c r="T65" s="72">
        <f t="shared" si="8"/>
        <v>0</v>
      </c>
      <c r="U65" s="69"/>
      <c r="V65" s="72">
        <f t="shared" si="9"/>
        <v>0</v>
      </c>
      <c r="W65" s="69"/>
      <c r="X65" s="72">
        <f t="shared" si="10"/>
        <v>0</v>
      </c>
      <c r="Y65" s="69"/>
      <c r="Z65" s="72">
        <f t="shared" si="11"/>
        <v>0</v>
      </c>
      <c r="AA65" s="69"/>
      <c r="AB65" s="72">
        <f t="shared" si="15"/>
        <v>0</v>
      </c>
    </row>
    <row r="66" spans="1:28" x14ac:dyDescent="0.2">
      <c r="A66" s="70" t="str">
        <f>IF(ISERROR(VLOOKUP(C66,Parameters!$B:$C,2,0)),"-",VLOOKUP(C66,Parameters!$B:$C,2,0))</f>
        <v>-</v>
      </c>
      <c r="B66" s="181" t="str">
        <f>IF($A66="-","-",IF((COUNTIF($A$36:$A66,$A66)-1)&lt;10,$A66&amp;"-0"&amp;(COUNTIF($A$36:$A66,$A66)-1),$A66&amp;"-"&amp;(COUNTIF($A$36:$A66,$A66)-1)))</f>
        <v>-</v>
      </c>
      <c r="C66" s="79"/>
      <c r="D66" s="79"/>
      <c r="E66" s="79"/>
      <c r="F66" s="80"/>
      <c r="G66" s="81"/>
      <c r="H66" s="82"/>
      <c r="I66" s="279"/>
      <c r="J66" s="280"/>
      <c r="K66" s="103"/>
      <c r="L66" s="71">
        <f t="shared" si="14"/>
        <v>0</v>
      </c>
      <c r="M66" s="284"/>
      <c r="N66" s="285"/>
      <c r="O66" s="286"/>
      <c r="P66" s="45"/>
      <c r="Q66" s="89">
        <f t="shared" si="7"/>
        <v>0</v>
      </c>
      <c r="R66" s="87">
        <v>0</v>
      </c>
      <c r="S66" s="45"/>
      <c r="T66" s="72">
        <f t="shared" si="8"/>
        <v>0</v>
      </c>
      <c r="U66" s="69"/>
      <c r="V66" s="72">
        <f t="shared" si="9"/>
        <v>0</v>
      </c>
      <c r="W66" s="69"/>
      <c r="X66" s="72">
        <f t="shared" si="10"/>
        <v>0</v>
      </c>
      <c r="Y66" s="69"/>
      <c r="Z66" s="72">
        <f t="shared" si="11"/>
        <v>0</v>
      </c>
      <c r="AA66" s="69"/>
      <c r="AB66" s="72">
        <f t="shared" si="15"/>
        <v>0</v>
      </c>
    </row>
    <row r="67" spans="1:28" x14ac:dyDescent="0.2">
      <c r="A67" s="70" t="str">
        <f>IF(ISERROR(VLOOKUP(C67,Parameters!$B:$C,2,0)),"-",VLOOKUP(C67,Parameters!$B:$C,2,0))</f>
        <v>-</v>
      </c>
      <c r="B67" s="181" t="str">
        <f>IF($A67="-","-",IF((COUNTIF($A$36:$A67,$A67)-1)&lt;10,$A67&amp;"-0"&amp;(COUNTIF($A$36:$A67,$A67)-1),$A67&amp;"-"&amp;(COUNTIF($A$36:$A67,$A67)-1)))</f>
        <v>-</v>
      </c>
      <c r="C67" s="79"/>
      <c r="D67" s="79"/>
      <c r="E67" s="79"/>
      <c r="F67" s="80"/>
      <c r="G67" s="81"/>
      <c r="H67" s="82"/>
      <c r="I67" s="279"/>
      <c r="J67" s="280"/>
      <c r="K67" s="103"/>
      <c r="L67" s="71">
        <f t="shared" si="14"/>
        <v>0</v>
      </c>
      <c r="M67" s="284"/>
      <c r="N67" s="285"/>
      <c r="O67" s="286"/>
      <c r="P67" s="45"/>
      <c r="Q67" s="89">
        <f t="shared" si="7"/>
        <v>0</v>
      </c>
      <c r="R67" s="87">
        <v>0</v>
      </c>
      <c r="S67" s="45"/>
      <c r="T67" s="72">
        <f t="shared" si="8"/>
        <v>0</v>
      </c>
      <c r="U67" s="69"/>
      <c r="V67" s="72">
        <f t="shared" si="9"/>
        <v>0</v>
      </c>
      <c r="W67" s="69"/>
      <c r="X67" s="72">
        <f t="shared" si="10"/>
        <v>0</v>
      </c>
      <c r="Y67" s="69"/>
      <c r="Z67" s="72">
        <f t="shared" si="11"/>
        <v>0</v>
      </c>
      <c r="AA67" s="69"/>
      <c r="AB67" s="72">
        <f t="shared" si="15"/>
        <v>0</v>
      </c>
    </row>
    <row r="68" spans="1:28" x14ac:dyDescent="0.2">
      <c r="A68" s="70" t="str">
        <f>IF(ISERROR(VLOOKUP(C68,Parameters!$B:$C,2,0)),"-",VLOOKUP(C68,Parameters!$B:$C,2,0))</f>
        <v>-</v>
      </c>
      <c r="B68" s="181" t="str">
        <f>IF($A68="-","-",IF((COUNTIF($A$36:$A68,$A68)-1)&lt;10,$A68&amp;"-0"&amp;(COUNTIF($A$36:$A68,$A68)-1),$A68&amp;"-"&amp;(COUNTIF($A$36:$A68,$A68)-1)))</f>
        <v>-</v>
      </c>
      <c r="C68" s="79"/>
      <c r="D68" s="79"/>
      <c r="E68" s="79"/>
      <c r="F68" s="80"/>
      <c r="G68" s="81"/>
      <c r="H68" s="82"/>
      <c r="I68" s="279"/>
      <c r="J68" s="280"/>
      <c r="K68" s="103"/>
      <c r="L68" s="71">
        <f t="shared" si="14"/>
        <v>0</v>
      </c>
      <c r="M68" s="284"/>
      <c r="N68" s="285"/>
      <c r="O68" s="286"/>
      <c r="P68" s="45"/>
      <c r="Q68" s="89">
        <f t="shared" si="7"/>
        <v>0</v>
      </c>
      <c r="R68" s="87">
        <v>0</v>
      </c>
      <c r="S68" s="45"/>
      <c r="T68" s="72">
        <f t="shared" si="8"/>
        <v>0</v>
      </c>
      <c r="U68" s="69"/>
      <c r="V68" s="72">
        <f t="shared" si="9"/>
        <v>0</v>
      </c>
      <c r="W68" s="69"/>
      <c r="X68" s="72">
        <f t="shared" si="10"/>
        <v>0</v>
      </c>
      <c r="Y68" s="69"/>
      <c r="Z68" s="72">
        <f t="shared" si="11"/>
        <v>0</v>
      </c>
      <c r="AA68" s="69"/>
      <c r="AB68" s="72">
        <f t="shared" si="15"/>
        <v>0</v>
      </c>
    </row>
    <row r="69" spans="1:28" x14ac:dyDescent="0.2">
      <c r="A69" s="70" t="str">
        <f>IF(ISERROR(VLOOKUP(C69,Parameters!$B:$C,2,0)),"-",VLOOKUP(C69,Parameters!$B:$C,2,0))</f>
        <v>-</v>
      </c>
      <c r="B69" s="181" t="str">
        <f>IF($A69="-","-",IF((COUNTIF($A$36:$A69,$A69)-1)&lt;10,$A69&amp;"-0"&amp;(COUNTIF($A$36:$A69,$A69)-1),$A69&amp;"-"&amp;(COUNTIF($A$36:$A69,$A69)-1)))</f>
        <v>-</v>
      </c>
      <c r="C69" s="79"/>
      <c r="D69" s="79"/>
      <c r="E69" s="79"/>
      <c r="F69" s="80"/>
      <c r="G69" s="81"/>
      <c r="H69" s="82"/>
      <c r="I69" s="279"/>
      <c r="J69" s="280"/>
      <c r="K69" s="103"/>
      <c r="L69" s="71">
        <f t="shared" si="14"/>
        <v>0</v>
      </c>
      <c r="M69" s="284"/>
      <c r="N69" s="285"/>
      <c r="O69" s="286"/>
      <c r="P69" s="45"/>
      <c r="Q69" s="89">
        <f t="shared" si="7"/>
        <v>0</v>
      </c>
      <c r="R69" s="87">
        <v>0</v>
      </c>
      <c r="S69" s="45"/>
      <c r="T69" s="72">
        <f t="shared" si="8"/>
        <v>0</v>
      </c>
      <c r="U69" s="69"/>
      <c r="V69" s="72">
        <f t="shared" si="9"/>
        <v>0</v>
      </c>
      <c r="W69" s="69"/>
      <c r="X69" s="72">
        <f t="shared" si="10"/>
        <v>0</v>
      </c>
      <c r="Y69" s="69"/>
      <c r="Z69" s="72">
        <f t="shared" si="11"/>
        <v>0</v>
      </c>
      <c r="AA69" s="69"/>
      <c r="AB69" s="72">
        <f t="shared" si="15"/>
        <v>0</v>
      </c>
    </row>
    <row r="70" spans="1:28" x14ac:dyDescent="0.2">
      <c r="A70" s="70" t="str">
        <f>IF(ISERROR(VLOOKUP(C70,Parameters!$B:$C,2,0)),"-",VLOOKUP(C70,Parameters!$B:$C,2,0))</f>
        <v>-</v>
      </c>
      <c r="B70" s="181" t="str">
        <f>IF($A70="-","-",IF((COUNTIF($A$36:$A70,$A70)-1)&lt;10,$A70&amp;"-0"&amp;(COUNTIF($A$36:$A70,$A70)-1),$A70&amp;"-"&amp;(COUNTIF($A$36:$A70,$A70)-1)))</f>
        <v>-</v>
      </c>
      <c r="C70" s="79"/>
      <c r="D70" s="79"/>
      <c r="E70" s="79"/>
      <c r="F70" s="80"/>
      <c r="G70" s="81"/>
      <c r="H70" s="82"/>
      <c r="I70" s="279"/>
      <c r="J70" s="280"/>
      <c r="K70" s="103"/>
      <c r="L70" s="71">
        <f t="shared" si="14"/>
        <v>0</v>
      </c>
      <c r="M70" s="284"/>
      <c r="N70" s="285"/>
      <c r="O70" s="286"/>
      <c r="P70" s="45"/>
      <c r="Q70" s="89">
        <f t="shared" si="7"/>
        <v>0</v>
      </c>
      <c r="R70" s="87">
        <v>0</v>
      </c>
      <c r="S70" s="45"/>
      <c r="T70" s="72">
        <f t="shared" si="8"/>
        <v>0</v>
      </c>
      <c r="U70" s="69"/>
      <c r="V70" s="72">
        <f t="shared" si="9"/>
        <v>0</v>
      </c>
      <c r="W70" s="69"/>
      <c r="X70" s="72">
        <f t="shared" si="10"/>
        <v>0</v>
      </c>
      <c r="Y70" s="69"/>
      <c r="Z70" s="72">
        <f t="shared" si="11"/>
        <v>0</v>
      </c>
      <c r="AA70" s="69"/>
      <c r="AB70" s="72">
        <f t="shared" si="15"/>
        <v>0</v>
      </c>
    </row>
    <row r="71" spans="1:28" x14ac:dyDescent="0.2">
      <c r="A71" s="70" t="str">
        <f>IF(ISERROR(VLOOKUP(C71,Parameters!$B:$C,2,0)),"-",VLOOKUP(C71,Parameters!$B:$C,2,0))</f>
        <v>-</v>
      </c>
      <c r="B71" s="181" t="str">
        <f>IF($A71="-","-",IF((COUNTIF($A$36:$A71,$A71)-1)&lt;10,$A71&amp;"-0"&amp;(COUNTIF($A$36:$A71,$A71)-1),$A71&amp;"-"&amp;(COUNTIF($A$36:$A71,$A71)-1)))</f>
        <v>-</v>
      </c>
      <c r="C71" s="79"/>
      <c r="D71" s="79"/>
      <c r="E71" s="79"/>
      <c r="F71" s="80"/>
      <c r="G71" s="81"/>
      <c r="H71" s="82"/>
      <c r="I71" s="279"/>
      <c r="J71" s="280"/>
      <c r="K71" s="103"/>
      <c r="L71" s="71">
        <f t="shared" si="14"/>
        <v>0</v>
      </c>
      <c r="M71" s="284"/>
      <c r="N71" s="285"/>
      <c r="O71" s="286"/>
      <c r="P71" s="45"/>
      <c r="Q71" s="89">
        <f t="shared" si="7"/>
        <v>0</v>
      </c>
      <c r="R71" s="87">
        <v>0</v>
      </c>
      <c r="S71" s="45"/>
      <c r="T71" s="72">
        <f t="shared" si="8"/>
        <v>0</v>
      </c>
      <c r="U71" s="69"/>
      <c r="V71" s="72">
        <f t="shared" si="9"/>
        <v>0</v>
      </c>
      <c r="W71" s="69"/>
      <c r="X71" s="72">
        <f t="shared" si="10"/>
        <v>0</v>
      </c>
      <c r="Y71" s="69"/>
      <c r="Z71" s="72">
        <f t="shared" si="11"/>
        <v>0</v>
      </c>
      <c r="AA71" s="69"/>
      <c r="AB71" s="72">
        <f t="shared" si="15"/>
        <v>0</v>
      </c>
    </row>
    <row r="72" spans="1:28" x14ac:dyDescent="0.2">
      <c r="A72" s="70" t="str">
        <f>IF(ISERROR(VLOOKUP(C72,Parameters!$B:$C,2,0)),"-",VLOOKUP(C72,Parameters!$B:$C,2,0))</f>
        <v>-</v>
      </c>
      <c r="B72" s="181" t="str">
        <f>IF($A72="-","-",IF((COUNTIF($A$36:$A72,$A72)-1)&lt;10,$A72&amp;"-0"&amp;(COUNTIF($A$36:$A72,$A72)-1),$A72&amp;"-"&amp;(COUNTIF($A$36:$A72,$A72)-1)))</f>
        <v>-</v>
      </c>
      <c r="C72" s="79"/>
      <c r="D72" s="79"/>
      <c r="E72" s="79"/>
      <c r="F72" s="80"/>
      <c r="G72" s="81"/>
      <c r="H72" s="82"/>
      <c r="I72" s="279"/>
      <c r="J72" s="280"/>
      <c r="K72" s="103"/>
      <c r="L72" s="71">
        <f t="shared" si="14"/>
        <v>0</v>
      </c>
      <c r="M72" s="284"/>
      <c r="N72" s="285"/>
      <c r="O72" s="286"/>
      <c r="P72" s="45"/>
      <c r="Q72" s="89">
        <f t="shared" si="7"/>
        <v>0</v>
      </c>
      <c r="R72" s="87">
        <v>0</v>
      </c>
      <c r="S72" s="45"/>
      <c r="T72" s="72">
        <f t="shared" si="8"/>
        <v>0</v>
      </c>
      <c r="U72" s="69"/>
      <c r="V72" s="72">
        <f t="shared" si="9"/>
        <v>0</v>
      </c>
      <c r="W72" s="69"/>
      <c r="X72" s="72">
        <f t="shared" si="10"/>
        <v>0</v>
      </c>
      <c r="Y72" s="69"/>
      <c r="Z72" s="72">
        <f t="shared" si="11"/>
        <v>0</v>
      </c>
      <c r="AA72" s="69"/>
      <c r="AB72" s="72">
        <f t="shared" si="15"/>
        <v>0</v>
      </c>
    </row>
    <row r="73" spans="1:28" x14ac:dyDescent="0.2">
      <c r="A73" s="70" t="str">
        <f>IF(ISERROR(VLOOKUP(C73,Parameters!$B:$C,2,0)),"-",VLOOKUP(C73,Parameters!$B:$C,2,0))</f>
        <v>-</v>
      </c>
      <c r="B73" s="181" t="str">
        <f>IF($A73="-","-",IF((COUNTIF($A$36:$A73,$A73)-1)&lt;10,$A73&amp;"-0"&amp;(COUNTIF($A$36:$A73,$A73)-1),$A73&amp;"-"&amp;(COUNTIF($A$36:$A73,$A73)-1)))</f>
        <v>-</v>
      </c>
      <c r="C73" s="79"/>
      <c r="D73" s="79"/>
      <c r="E73" s="79"/>
      <c r="F73" s="80"/>
      <c r="G73" s="81"/>
      <c r="H73" s="82"/>
      <c r="I73" s="279"/>
      <c r="J73" s="280"/>
      <c r="K73" s="103"/>
      <c r="L73" s="71">
        <f t="shared" si="14"/>
        <v>0</v>
      </c>
      <c r="M73" s="284"/>
      <c r="N73" s="285"/>
      <c r="O73" s="286"/>
      <c r="P73" s="45"/>
      <c r="Q73" s="89">
        <f t="shared" si="7"/>
        <v>0</v>
      </c>
      <c r="R73" s="87">
        <v>0</v>
      </c>
      <c r="S73" s="45"/>
      <c r="T73" s="72">
        <f t="shared" si="8"/>
        <v>0</v>
      </c>
      <c r="U73" s="69"/>
      <c r="V73" s="72">
        <f t="shared" si="9"/>
        <v>0</v>
      </c>
      <c r="W73" s="69"/>
      <c r="X73" s="72">
        <f t="shared" si="10"/>
        <v>0</v>
      </c>
      <c r="Y73" s="69"/>
      <c r="Z73" s="72">
        <f t="shared" si="11"/>
        <v>0</v>
      </c>
      <c r="AA73" s="69"/>
      <c r="AB73" s="72">
        <f t="shared" si="15"/>
        <v>0</v>
      </c>
    </row>
    <row r="74" spans="1:28" ht="13.5" thickBot="1" x14ac:dyDescent="0.25">
      <c r="A74" s="73" t="str">
        <f>IF(ISERROR(VLOOKUP(C74,Parameters!$B:$C,2,0)),"-",VLOOKUP(C74,Parameters!$B:$C,2,0))</f>
        <v>-</v>
      </c>
      <c r="B74" s="182" t="str">
        <f>IF($A74="-","-",IF((COUNTIF($A$36:$A74,$A74)-1)&lt;10,$A74&amp;"-0"&amp;(COUNTIF($A$36:$A74,$A74)-1),$A74&amp;"-"&amp;(COUNTIF($A$36:$A74,$A74)-1)))</f>
        <v>-</v>
      </c>
      <c r="C74" s="83"/>
      <c r="D74" s="83"/>
      <c r="E74" s="83"/>
      <c r="F74" s="84"/>
      <c r="G74" s="85"/>
      <c r="H74" s="86"/>
      <c r="I74" s="281"/>
      <c r="J74" s="282"/>
      <c r="K74" s="283"/>
      <c r="L74" s="74">
        <f t="shared" si="14"/>
        <v>0</v>
      </c>
      <c r="M74" s="287"/>
      <c r="N74" s="288"/>
      <c r="O74" s="289"/>
      <c r="P74" s="45"/>
      <c r="Q74" s="90">
        <f t="shared" si="7"/>
        <v>0</v>
      </c>
      <c r="R74" s="88">
        <v>0</v>
      </c>
      <c r="S74" s="45"/>
      <c r="T74" s="75">
        <f t="shared" si="8"/>
        <v>0</v>
      </c>
      <c r="U74" s="69"/>
      <c r="V74" s="75">
        <f t="shared" si="9"/>
        <v>0</v>
      </c>
      <c r="W74" s="69"/>
      <c r="X74" s="75">
        <f t="shared" si="10"/>
        <v>0</v>
      </c>
      <c r="Y74" s="69"/>
      <c r="Z74" s="75">
        <f t="shared" si="11"/>
        <v>0</v>
      </c>
      <c r="AA74" s="69"/>
      <c r="AB74" s="75">
        <f t="shared" si="15"/>
        <v>0</v>
      </c>
    </row>
    <row r="75" spans="1:28" x14ac:dyDescent="0.2">
      <c r="A75" s="346" t="str">
        <f>A35&amp;" TOTALS"</f>
        <v>05 TOTALS</v>
      </c>
      <c r="B75" s="347"/>
      <c r="C75" s="347"/>
      <c r="D75" s="347"/>
      <c r="E75" s="347"/>
      <c r="F75" s="347"/>
      <c r="G75" s="347"/>
      <c r="H75" s="348"/>
      <c r="I75" s="76"/>
      <c r="J75" s="76"/>
      <c r="K75" s="76"/>
      <c r="L75" s="352">
        <f>SUM(L35:L74)</f>
        <v>0</v>
      </c>
      <c r="M75" s="76"/>
      <c r="N75" s="352">
        <f>SUM(N35:N74)</f>
        <v>0</v>
      </c>
      <c r="O75" s="76"/>
      <c r="Q75" s="364">
        <f>SUM(Q35:Q74)</f>
        <v>0</v>
      </c>
      <c r="R75" s="362">
        <f>SUM(R35:R74)</f>
        <v>0</v>
      </c>
      <c r="T75" s="354">
        <f>SUM(T35:T74)</f>
        <v>0</v>
      </c>
      <c r="V75" s="354">
        <f>SUM(V35:V74)</f>
        <v>0</v>
      </c>
      <c r="X75" s="354">
        <f>SUM(X35:X74)</f>
        <v>0</v>
      </c>
      <c r="Z75" s="354">
        <f>SUM(Z35:Z74)</f>
        <v>0</v>
      </c>
      <c r="AB75" s="354">
        <f>ROUND(SUM(AB35:AB74),2)</f>
        <v>0</v>
      </c>
    </row>
    <row r="76" spans="1:28" ht="13.5" thickBot="1" x14ac:dyDescent="0.25">
      <c r="A76" s="349"/>
      <c r="B76" s="350"/>
      <c r="C76" s="350"/>
      <c r="D76" s="350"/>
      <c r="E76" s="350"/>
      <c r="F76" s="350"/>
      <c r="G76" s="350"/>
      <c r="H76" s="351"/>
      <c r="I76" s="76"/>
      <c r="J76" s="76"/>
      <c r="K76" s="76"/>
      <c r="L76" s="353"/>
      <c r="M76" s="76"/>
      <c r="N76" s="353"/>
      <c r="O76" s="76"/>
      <c r="Q76" s="365"/>
      <c r="R76" s="363"/>
      <c r="T76" s="355"/>
      <c r="V76" s="355"/>
      <c r="X76" s="355"/>
      <c r="Z76" s="355"/>
      <c r="AB76" s="355"/>
    </row>
  </sheetData>
  <sheetProtection sheet="1" objects="1" scenarios="1" formatCells="0" formatColumns="0" formatRows="0"/>
  <mergeCells count="25">
    <mergeCell ref="A1:C1"/>
    <mergeCell ref="A3:B3"/>
    <mergeCell ref="A4:B4"/>
    <mergeCell ref="A8:B8"/>
    <mergeCell ref="A7:B7"/>
    <mergeCell ref="Z30:Z31"/>
    <mergeCell ref="AB75:AB76"/>
    <mergeCell ref="Q75:Q76"/>
    <mergeCell ref="R75:R76"/>
    <mergeCell ref="T75:T76"/>
    <mergeCell ref="V75:V76"/>
    <mergeCell ref="X75:X76"/>
    <mergeCell ref="Z75:Z76"/>
    <mergeCell ref="AB30:AB31"/>
    <mergeCell ref="Q30:Q31"/>
    <mergeCell ref="X30:X31"/>
    <mergeCell ref="A75:H76"/>
    <mergeCell ref="L75:L76"/>
    <mergeCell ref="N75:N76"/>
    <mergeCell ref="V30:V31"/>
    <mergeCell ref="L30:L31"/>
    <mergeCell ref="N30:N31"/>
    <mergeCell ref="A30:H31"/>
    <mergeCell ref="R30:R31"/>
    <mergeCell ref="T30:T31"/>
  </mergeCells>
  <phoneticPr fontId="7" type="noConversion"/>
  <conditionalFormatting sqref="I14:L29 I36:L74">
    <cfRule type="expression" dxfId="4" priority="1" stopIfTrue="1">
      <formula>IF($H14="Weekly",FALSE,TRUE)</formula>
    </cfRule>
  </conditionalFormatting>
  <conditionalFormatting sqref="M14:N29 M36:N74">
    <cfRule type="expression" dxfId="3" priority="2" stopIfTrue="1">
      <formula>IF($H14="Daily",FALSE,TRUE)</formula>
    </cfRule>
  </conditionalFormatting>
  <conditionalFormatting sqref="O14:O29 O36:O74">
    <cfRule type="expression" dxfId="2" priority="3" stopIfTrue="1">
      <formula>IF($H14="One Fee",FALSE,TRUE)</formula>
    </cfRule>
  </conditionalFormatting>
  <dataValidations count="5">
    <dataValidation type="list" allowBlank="1" showInputMessage="1" showErrorMessage="1" sqref="F14:F29 F36:F74">
      <formula1>"PAYE, Schedule D, Ltd Company, Recharge"</formula1>
    </dataValidation>
    <dataValidation type="list" allowBlank="1" showInputMessage="1" showErrorMessage="1" sqref="G14:G29 G36:G74">
      <formula1>"0%, 1%, 9%, 24%"</formula1>
    </dataValidation>
    <dataValidation type="list" allowBlank="1" showInputMessage="1" showErrorMessage="1" sqref="H14:H29 H36:H74">
      <formula1>"Daily, Weekly, One Fee"</formula1>
    </dataValidation>
    <dataValidation type="list" allowBlank="1" showInputMessage="1" showErrorMessage="1" sqref="C36:C74">
      <formula1>List05</formula1>
    </dataValidation>
    <dataValidation type="list" allowBlank="1" showInputMessage="1" showErrorMessage="1" sqref="C14:C29">
      <formula1>List02</formula1>
    </dataValidation>
  </dataValidations>
  <hyperlinks>
    <hyperlink ref="D1" location="Detail!D9" display="Back to detail page"/>
  </hyperlinks>
  <pageMargins left="0.75" right="0.75" top="1" bottom="1" header="0.5" footer="0.5"/>
  <pageSetup paperSize="9" scale="44" orientation="landscape" r:id="rId1"/>
  <headerFooter alignWithMargins="0"/>
  <rowBreaks count="1" manualBreakCount="1">
    <brk id="31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InsertPersonnelRow">
                <anchor moveWithCells="1" sizeWithCells="1">
                  <from>
                    <xdr:col>3</xdr:col>
                    <xdr:colOff>28575</xdr:colOff>
                    <xdr:row>2</xdr:row>
                    <xdr:rowOff>9525</xdr:rowOff>
                  </from>
                  <to>
                    <xdr:col>3</xdr:col>
                    <xdr:colOff>1285875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DeleteRow">
                <anchor moveWithCells="1" sizeWithCells="1">
                  <from>
                    <xdr:col>3</xdr:col>
                    <xdr:colOff>28575</xdr:colOff>
                    <xdr:row>6</xdr:row>
                    <xdr:rowOff>9525</xdr:rowOff>
                  </from>
                  <to>
                    <xdr:col>3</xdr:col>
                    <xdr:colOff>1285875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O152"/>
  <sheetViews>
    <sheetView showGridLines="0" zoomScale="90" workbookViewId="0">
      <pane ySplit="11" topLeftCell="A127" activePane="bottomLeft" state="frozen"/>
      <selection pane="bottomLeft" activeCell="H142" sqref="H142"/>
    </sheetView>
  </sheetViews>
  <sheetFormatPr defaultRowHeight="12.75" x14ac:dyDescent="0.2"/>
  <cols>
    <col min="1" max="1" width="7.28515625" style="45" customWidth="1"/>
    <col min="2" max="2" width="9" style="45" customWidth="1"/>
    <col min="3" max="3" width="39.140625" style="45" customWidth="1"/>
    <col min="4" max="4" width="21.140625" style="45" customWidth="1"/>
    <col min="5" max="5" width="16.140625" style="45" customWidth="1"/>
    <col min="6" max="6" width="9.140625" style="45"/>
    <col min="7" max="7" width="11.85546875" style="45" customWidth="1"/>
    <col min="8" max="8" width="9.140625" style="45"/>
    <col min="9" max="9" width="1.5703125" style="45" customWidth="1"/>
    <col min="10" max="10" width="13.140625" style="45" customWidth="1"/>
    <col min="11" max="11" width="1.5703125" style="45" customWidth="1"/>
    <col min="12" max="12" width="13.140625" style="45" customWidth="1"/>
    <col min="13" max="13" width="1.5703125" style="45" customWidth="1"/>
    <col min="14" max="14" width="13.140625" style="45" customWidth="1"/>
    <col min="15" max="15" width="0" style="163" hidden="1" customWidth="1"/>
    <col min="16" max="16384" width="9.140625" style="163"/>
  </cols>
  <sheetData>
    <row r="1" spans="1:15" ht="18" x14ac:dyDescent="0.25">
      <c r="A1" s="376" t="s">
        <v>953</v>
      </c>
      <c r="B1" s="376"/>
      <c r="C1" s="376"/>
    </row>
    <row r="2" spans="1:15" x14ac:dyDescent="0.2">
      <c r="A2" s="298" t="s">
        <v>995</v>
      </c>
    </row>
    <row r="3" spans="1:15" x14ac:dyDescent="0.2">
      <c r="A3" s="367" t="s">
        <v>940</v>
      </c>
      <c r="B3" s="367"/>
      <c r="C3" s="47">
        <f>Name</f>
        <v>0</v>
      </c>
    </row>
    <row r="4" spans="1:15" x14ac:dyDescent="0.2">
      <c r="A4" s="367" t="s">
        <v>941</v>
      </c>
      <c r="B4" s="367"/>
      <c r="C4" s="49">
        <f>Number</f>
        <v>0</v>
      </c>
    </row>
    <row r="5" spans="1:15" x14ac:dyDescent="0.2">
      <c r="A5" s="46" t="s">
        <v>942</v>
      </c>
      <c r="B5" s="46"/>
      <c r="C5" s="49">
        <f>Eps</f>
        <v>0</v>
      </c>
    </row>
    <row r="6" spans="1:15" x14ac:dyDescent="0.2">
      <c r="A6" s="46"/>
      <c r="B6" s="46"/>
      <c r="C6" s="50"/>
    </row>
    <row r="7" spans="1:15" x14ac:dyDescent="0.2">
      <c r="A7" s="367" t="str">
        <f>"Crew Tot ("&amp;Currency&amp;"):"</f>
        <v>Crew Tot (£):</v>
      </c>
      <c r="B7" s="367"/>
      <c r="C7" s="51">
        <f>SUM(N:N)/2</f>
        <v>0</v>
      </c>
    </row>
    <row r="8" spans="1:15" x14ac:dyDescent="0.2">
      <c r="A8" s="367" t="str">
        <f>"Crew per ep ("&amp;Currency&amp;"):"</f>
        <v>Crew per ep (£):</v>
      </c>
      <c r="B8" s="367"/>
      <c r="C8" s="51">
        <f>IF(ISERROR(ROUND(C7/C5,2)),0,(ROUND(C7/C5,2)))</f>
        <v>0</v>
      </c>
    </row>
    <row r="10" spans="1:15" ht="13.5" thickBot="1" x14ac:dyDescent="0.25"/>
    <row r="11" spans="1:15" s="193" customFormat="1" ht="39" thickBot="1" x14ac:dyDescent="0.25">
      <c r="A11" s="185" t="s">
        <v>94</v>
      </c>
      <c r="B11" s="186" t="s">
        <v>934</v>
      </c>
      <c r="C11" s="186" t="s">
        <v>922</v>
      </c>
      <c r="D11" s="186" t="s">
        <v>923</v>
      </c>
      <c r="E11" s="186" t="s">
        <v>924</v>
      </c>
      <c r="F11" s="186" t="s">
        <v>954</v>
      </c>
      <c r="G11" s="186" t="s">
        <v>929</v>
      </c>
      <c r="H11" s="187" t="s">
        <v>955</v>
      </c>
      <c r="I11" s="63"/>
      <c r="J11" s="97" t="str">
        <f>"Basic - "&amp;Currency</f>
        <v>Basic - £</v>
      </c>
      <c r="K11" s="63"/>
      <c r="L11" s="64" t="str">
        <f>"NI - "&amp;Currency</f>
        <v>NI - £</v>
      </c>
      <c r="M11" s="63"/>
      <c r="N11" s="64" t="str">
        <f>"Total - "&amp;Currency</f>
        <v>Total - £</v>
      </c>
      <c r="O11" s="193" t="s">
        <v>997</v>
      </c>
    </row>
    <row r="12" spans="1:15" x14ac:dyDescent="0.2">
      <c r="A12" s="188" t="s">
        <v>957</v>
      </c>
      <c r="B12" s="189" t="s">
        <v>956</v>
      </c>
      <c r="C12" s="190"/>
      <c r="D12" s="190"/>
      <c r="E12" s="190"/>
      <c r="F12" s="190"/>
      <c r="G12" s="190"/>
      <c r="H12" s="191"/>
      <c r="J12" s="196" t="s">
        <v>996</v>
      </c>
      <c r="L12" s="196" t="str">
        <f>L11</f>
        <v>NI - £</v>
      </c>
      <c r="N12" s="196" t="str">
        <f>N11</f>
        <v>Total - £</v>
      </c>
      <c r="O12" s="163">
        <f>IF(N20=0,0,1)</f>
        <v>0</v>
      </c>
    </row>
    <row r="13" spans="1:15" x14ac:dyDescent="0.2">
      <c r="A13" s="184" t="str">
        <f>IF(ISERROR(VLOOKUP(C13,Parameters!$F:$G,2,0)),"-",VLOOKUP(C13,Parameters!$F:$G,2,0))</f>
        <v>06A</v>
      </c>
      <c r="B13" s="192" t="str">
        <f>IF($A13="-","-",IF((COUNTIF($A$13:$A13,$A13)-1)&lt;10,$A13&amp;"-0"&amp;(COUNTIF($A$13:$A13,$A13)-1),$A13&amp;"-"&amp;(COUNTIF($A$13:$A13,$A13)-1)))</f>
        <v>06A-00</v>
      </c>
      <c r="C13" s="79" t="s">
        <v>259</v>
      </c>
      <c r="D13" s="79"/>
      <c r="E13" s="79"/>
      <c r="F13" s="102"/>
      <c r="G13" s="103"/>
      <c r="H13" s="82"/>
      <c r="J13" s="99">
        <f>ROUND(F13*G13,2)</f>
        <v>0</v>
      </c>
      <c r="K13" s="69"/>
      <c r="L13" s="99">
        <f>ROUND(IF(H13="Yes",J13*13.8%,0),2)</f>
        <v>0</v>
      </c>
      <c r="M13" s="69"/>
      <c r="N13" s="99">
        <f>J13+L13</f>
        <v>0</v>
      </c>
      <c r="O13" s="163">
        <f>IF(N13=0,0,1)</f>
        <v>0</v>
      </c>
    </row>
    <row r="14" spans="1:15" x14ac:dyDescent="0.2">
      <c r="A14" s="100" t="str">
        <f>IF(ISERROR(VLOOKUP(C14,Parameters!$F:$G,2,0)),"-",VLOOKUP(C14,Parameters!$F:$G,2,0))</f>
        <v>06B</v>
      </c>
      <c r="B14" s="192" t="str">
        <f>IF($A14="-","-",IF((COUNTIF($A$13:$A14,$A14)-1)&lt;10,$A14&amp;"-0"&amp;(COUNTIF($A$13:$A14,$A14)-1),$A14&amp;"-"&amp;(COUNTIF($A$13:$A14,$A14)-1)))</f>
        <v>06B-00</v>
      </c>
      <c r="C14" s="79" t="s">
        <v>261</v>
      </c>
      <c r="D14" s="79"/>
      <c r="E14" s="79"/>
      <c r="F14" s="102"/>
      <c r="G14" s="103"/>
      <c r="H14" s="82"/>
      <c r="J14" s="99">
        <f t="shared" ref="J14:J19" si="0">ROUND(F14*G14,2)</f>
        <v>0</v>
      </c>
      <c r="K14" s="69"/>
      <c r="L14" s="99">
        <f t="shared" ref="L14:L19" si="1">ROUND(IF(H14="Yes",J14*13.8%,0),2)</f>
        <v>0</v>
      </c>
      <c r="M14" s="69"/>
      <c r="N14" s="99">
        <f t="shared" ref="N14:N19" si="2">J14+L14</f>
        <v>0</v>
      </c>
      <c r="O14" s="163">
        <f t="shared" ref="O14:O19" si="3">IF(N14=0,0,1)</f>
        <v>0</v>
      </c>
    </row>
    <row r="15" spans="1:15" x14ac:dyDescent="0.2">
      <c r="A15" s="100" t="str">
        <f>IF(ISERROR(VLOOKUP(C15,Parameters!$F:$G,2,0)),"-",VLOOKUP(C15,Parameters!$F:$G,2,0))</f>
        <v>06C</v>
      </c>
      <c r="B15" s="192" t="str">
        <f>IF($A15="-","-",IF((COUNTIF($A$13:$A15,$A15)-1)&lt;10,$A15&amp;"-0"&amp;(COUNTIF($A$13:$A15,$A15)-1),$A15&amp;"-"&amp;(COUNTIF($A$13:$A15,$A15)-1)))</f>
        <v>06C-00</v>
      </c>
      <c r="C15" s="79" t="s">
        <v>263</v>
      </c>
      <c r="D15" s="79"/>
      <c r="E15" s="79"/>
      <c r="F15" s="102"/>
      <c r="G15" s="103"/>
      <c r="H15" s="82"/>
      <c r="J15" s="99">
        <f>ROUND(F15*G15,2)</f>
        <v>0</v>
      </c>
      <c r="K15" s="69"/>
      <c r="L15" s="99">
        <f>ROUND(IF(H15="Yes",J15*13.8%,0),2)</f>
        <v>0</v>
      </c>
      <c r="M15" s="69"/>
      <c r="N15" s="99">
        <f>J15+L15</f>
        <v>0</v>
      </c>
      <c r="O15" s="163">
        <f t="shared" si="3"/>
        <v>0</v>
      </c>
    </row>
    <row r="16" spans="1:15" x14ac:dyDescent="0.2">
      <c r="A16" s="100" t="str">
        <f>IF(ISERROR(VLOOKUP(C16,Parameters!$F:$G,2,0)),"-",VLOOKUP(C16,Parameters!$F:$G,2,0))</f>
        <v>06D</v>
      </c>
      <c r="B16" s="192" t="str">
        <f>IF($A16="-","-",IF((COUNTIF($A$13:$A16,$A16)-1)&lt;10,$A16&amp;"-0"&amp;(COUNTIF($A$13:$A16,$A16)-1),$A16&amp;"-"&amp;(COUNTIF($A$13:$A16,$A16)-1)))</f>
        <v>06D-00</v>
      </c>
      <c r="C16" s="79" t="s">
        <v>265</v>
      </c>
      <c r="D16" s="79"/>
      <c r="E16" s="79"/>
      <c r="F16" s="102"/>
      <c r="G16" s="103"/>
      <c r="H16" s="82"/>
      <c r="J16" s="99">
        <f t="shared" si="0"/>
        <v>0</v>
      </c>
      <c r="K16" s="69"/>
      <c r="L16" s="99">
        <f t="shared" si="1"/>
        <v>0</v>
      </c>
      <c r="M16" s="69"/>
      <c r="N16" s="99">
        <f t="shared" si="2"/>
        <v>0</v>
      </c>
      <c r="O16" s="163">
        <f t="shared" si="3"/>
        <v>0</v>
      </c>
    </row>
    <row r="17" spans="1:15" x14ac:dyDescent="0.2">
      <c r="A17" s="100" t="str">
        <f>IF(ISERROR(VLOOKUP(C17,Parameters!$F:$G,2,0)),"-",VLOOKUP(C17,Parameters!$F:$G,2,0))</f>
        <v>06E</v>
      </c>
      <c r="B17" s="192" t="str">
        <f>IF($A17="-","-",IF((COUNTIF($A$13:$A17,$A17)-1)&lt;10,$A17&amp;"-0"&amp;(COUNTIF($A$13:$A17,$A17)-1),$A17&amp;"-"&amp;(COUNTIF($A$13:$A17,$A17)-1)))</f>
        <v>06E-00</v>
      </c>
      <c r="C17" s="79" t="s">
        <v>267</v>
      </c>
      <c r="D17" s="79"/>
      <c r="E17" s="79"/>
      <c r="F17" s="102"/>
      <c r="G17" s="103"/>
      <c r="H17" s="82"/>
      <c r="J17" s="99">
        <f t="shared" si="0"/>
        <v>0</v>
      </c>
      <c r="K17" s="69"/>
      <c r="L17" s="99">
        <f t="shared" si="1"/>
        <v>0</v>
      </c>
      <c r="M17" s="69"/>
      <c r="N17" s="99">
        <f t="shared" si="2"/>
        <v>0</v>
      </c>
      <c r="O17" s="163">
        <f t="shared" si="3"/>
        <v>0</v>
      </c>
    </row>
    <row r="18" spans="1:15" x14ac:dyDescent="0.2">
      <c r="A18" s="100" t="str">
        <f>IF(ISERROR(VLOOKUP(C18,Parameters!$F:$G,2,0)),"-",VLOOKUP(C18,Parameters!$F:$G,2,0))</f>
        <v>06F</v>
      </c>
      <c r="B18" s="192" t="str">
        <f>IF($A18="-","-",IF((COUNTIF($A$13:$A18,$A18)-1)&lt;10,$A18&amp;"-0"&amp;(COUNTIF($A$13:$A18,$A18)-1),$A18&amp;"-"&amp;(COUNTIF($A$13:$A18,$A18)-1)))</f>
        <v>06F-00</v>
      </c>
      <c r="C18" s="79" t="s">
        <v>269</v>
      </c>
      <c r="D18" s="79"/>
      <c r="E18" s="79"/>
      <c r="F18" s="102"/>
      <c r="G18" s="103"/>
      <c r="H18" s="82"/>
      <c r="J18" s="99">
        <f t="shared" si="0"/>
        <v>0</v>
      </c>
      <c r="K18" s="69"/>
      <c r="L18" s="99">
        <f t="shared" si="1"/>
        <v>0</v>
      </c>
      <c r="M18" s="69"/>
      <c r="N18" s="99">
        <f t="shared" si="2"/>
        <v>0</v>
      </c>
      <c r="O18" s="163">
        <f t="shared" si="3"/>
        <v>0</v>
      </c>
    </row>
    <row r="19" spans="1:15" ht="13.5" thickBot="1" x14ac:dyDescent="0.25">
      <c r="A19" s="100" t="str">
        <f>IF(ISERROR(VLOOKUP(C19,Parameters!$F:$G,2,0)),"-",VLOOKUP(C19,Parameters!$F:$G,2,0))</f>
        <v>06G</v>
      </c>
      <c r="B19" s="192" t="str">
        <f>IF($A19="-","-",IF((COUNTIF($A$13:$A19,$A19)-1)&lt;10,$A19&amp;"-0"&amp;(COUNTIF($A$13:$A19,$A19)-1),$A19&amp;"-"&amp;(COUNTIF($A$13:$A19,$A19)-1)))</f>
        <v>06G-00</v>
      </c>
      <c r="C19" s="79" t="s">
        <v>271</v>
      </c>
      <c r="D19" s="79"/>
      <c r="E19" s="79"/>
      <c r="F19" s="102"/>
      <c r="G19" s="103"/>
      <c r="H19" s="82"/>
      <c r="J19" s="101">
        <f t="shared" si="0"/>
        <v>0</v>
      </c>
      <c r="K19" s="69"/>
      <c r="L19" s="101">
        <f t="shared" si="1"/>
        <v>0</v>
      </c>
      <c r="M19" s="69"/>
      <c r="N19" s="101">
        <f t="shared" si="2"/>
        <v>0</v>
      </c>
      <c r="O19" s="163">
        <f t="shared" si="3"/>
        <v>0</v>
      </c>
    </row>
    <row r="20" spans="1:15" x14ac:dyDescent="0.2">
      <c r="A20" s="368" t="str">
        <f>A12&amp;" TOTAL"</f>
        <v>06 - TOTAL</v>
      </c>
      <c r="B20" s="369"/>
      <c r="C20" s="369"/>
      <c r="D20" s="369"/>
      <c r="E20" s="369"/>
      <c r="F20" s="369"/>
      <c r="G20" s="369"/>
      <c r="H20" s="370"/>
      <c r="J20" s="374">
        <f>SUM(J12:J19)</f>
        <v>0</v>
      </c>
      <c r="L20" s="374">
        <f>SUM(L12:L19)</f>
        <v>0</v>
      </c>
      <c r="N20" s="374">
        <f>SUM(N12:N19)</f>
        <v>0</v>
      </c>
      <c r="O20" s="135">
        <f>IF(N20=0,0,1)</f>
        <v>0</v>
      </c>
    </row>
    <row r="21" spans="1:15" ht="13.5" thickBot="1" x14ac:dyDescent="0.25">
      <c r="A21" s="371"/>
      <c r="B21" s="372"/>
      <c r="C21" s="372"/>
      <c r="D21" s="372"/>
      <c r="E21" s="372"/>
      <c r="F21" s="372"/>
      <c r="G21" s="372"/>
      <c r="H21" s="373"/>
      <c r="J21" s="375"/>
      <c r="L21" s="375"/>
      <c r="N21" s="375"/>
      <c r="O21" s="135">
        <f>O20</f>
        <v>0</v>
      </c>
    </row>
    <row r="22" spans="1:15" x14ac:dyDescent="0.2">
      <c r="J22" s="195">
        <f>J20</f>
        <v>0</v>
      </c>
      <c r="O22" s="163">
        <f>IF(N20=0,0,1)</f>
        <v>0</v>
      </c>
    </row>
    <row r="23" spans="1:15" x14ac:dyDescent="0.2">
      <c r="J23" s="195">
        <f>J22</f>
        <v>0</v>
      </c>
      <c r="O23" s="163">
        <f>O22</f>
        <v>0</v>
      </c>
    </row>
    <row r="24" spans="1:15" ht="13.5" thickBot="1" x14ac:dyDescent="0.25">
      <c r="J24" s="195">
        <f>J23</f>
        <v>0</v>
      </c>
      <c r="O24" s="163">
        <f>O23</f>
        <v>0</v>
      </c>
    </row>
    <row r="25" spans="1:15" ht="39" thickBot="1" x14ac:dyDescent="0.25">
      <c r="A25" s="53" t="s">
        <v>94</v>
      </c>
      <c r="B25" s="54" t="s">
        <v>934</v>
      </c>
      <c r="C25" s="54" t="s">
        <v>922</v>
      </c>
      <c r="D25" s="54" t="s">
        <v>923</v>
      </c>
      <c r="E25" s="54" t="s">
        <v>924</v>
      </c>
      <c r="F25" s="54" t="s">
        <v>954</v>
      </c>
      <c r="G25" s="54" t="s">
        <v>929</v>
      </c>
      <c r="H25" s="56" t="s">
        <v>955</v>
      </c>
      <c r="I25" s="63"/>
      <c r="J25" s="97" t="str">
        <f>"Basic - "&amp;Currency</f>
        <v>Basic - £</v>
      </c>
      <c r="K25" s="63"/>
      <c r="L25" s="64" t="str">
        <f>"NI - "&amp;Currency</f>
        <v>NI - £</v>
      </c>
      <c r="M25" s="63"/>
      <c r="N25" s="64" t="str">
        <f>"Total - "&amp;Currency</f>
        <v>Total - £</v>
      </c>
      <c r="O25" s="163">
        <f>IF(N39=0,0,1)</f>
        <v>0</v>
      </c>
    </row>
    <row r="26" spans="1:15" x14ac:dyDescent="0.2">
      <c r="A26" s="188" t="s">
        <v>958</v>
      </c>
      <c r="B26" s="189" t="s">
        <v>966</v>
      </c>
      <c r="C26" s="190"/>
      <c r="D26" s="190"/>
      <c r="E26" s="190"/>
      <c r="F26" s="190"/>
      <c r="G26" s="190"/>
      <c r="H26" s="191"/>
      <c r="J26" s="196" t="s">
        <v>996</v>
      </c>
      <c r="L26" s="98"/>
      <c r="N26" s="98"/>
      <c r="O26" s="163">
        <f>O25</f>
        <v>0</v>
      </c>
    </row>
    <row r="27" spans="1:15" x14ac:dyDescent="0.2">
      <c r="A27" s="184" t="str">
        <f>IF(ISERROR(VLOOKUP(C27,Parameters!$F:$G,2,0)),"-",VLOOKUP(C27,Parameters!$F:$G,2,0))</f>
        <v>07A</v>
      </c>
      <c r="B27" s="192" t="str">
        <f>IF($A27="-","-",IF((COUNTIF($A$27:$A27,$A27)-1)&lt;10,$A27&amp;"-0"&amp;(COUNTIF($A$27:$A27,$A27)-1),$A27&amp;"-"&amp;(COUNTIF($A$27:$A27,$A27)-1)))</f>
        <v>07A-00</v>
      </c>
      <c r="C27" s="79" t="s">
        <v>273</v>
      </c>
      <c r="D27" s="79"/>
      <c r="E27" s="79"/>
      <c r="F27" s="102"/>
      <c r="G27" s="103"/>
      <c r="H27" s="82"/>
      <c r="J27" s="99">
        <f>ROUND(F27*G27,2)</f>
        <v>0</v>
      </c>
      <c r="K27" s="69"/>
      <c r="L27" s="99">
        <f>ROUND(IF(H27="Yes",J27*13.8%,0),2)</f>
        <v>0</v>
      </c>
      <c r="M27" s="69"/>
      <c r="N27" s="99">
        <f>J27+L27</f>
        <v>0</v>
      </c>
      <c r="O27" s="163">
        <f>IF(N27=0,0,1)</f>
        <v>0</v>
      </c>
    </row>
    <row r="28" spans="1:15" x14ac:dyDescent="0.2">
      <c r="A28" s="100" t="str">
        <f>IF(ISERROR(VLOOKUP(C28,Parameters!$F:$G,2,0)),"-",VLOOKUP(C28,Parameters!$F:$G,2,0))</f>
        <v>07B</v>
      </c>
      <c r="B28" s="192" t="str">
        <f>IF($A28="-","-",IF((COUNTIF($A$27:$A28,$A28)-1)&lt;10,$A28&amp;"-0"&amp;(COUNTIF($A$27:$A28,$A28)-1),$A28&amp;"-"&amp;(COUNTIF($A$27:$A28,$A28)-1)))</f>
        <v>07B-00</v>
      </c>
      <c r="C28" s="79" t="s">
        <v>275</v>
      </c>
      <c r="D28" s="79"/>
      <c r="E28" s="79"/>
      <c r="F28" s="102"/>
      <c r="G28" s="103"/>
      <c r="H28" s="82"/>
      <c r="J28" s="99">
        <f>ROUND(F28*G28,2)</f>
        <v>0</v>
      </c>
      <c r="K28" s="69"/>
      <c r="L28" s="99">
        <f>ROUND(IF(H28="Yes",J28*13.8%,0),2)</f>
        <v>0</v>
      </c>
      <c r="M28" s="69"/>
      <c r="N28" s="99">
        <f>J28+L28</f>
        <v>0</v>
      </c>
      <c r="O28" s="163">
        <f t="shared" ref="O28:O38" si="4">IF(N28=0,0,1)</f>
        <v>0</v>
      </c>
    </row>
    <row r="29" spans="1:15" x14ac:dyDescent="0.2">
      <c r="A29" s="100" t="str">
        <f>IF(ISERROR(VLOOKUP(C29,Parameters!$F:$G,2,0)),"-",VLOOKUP(C29,Parameters!$F:$G,2,0))</f>
        <v>07C</v>
      </c>
      <c r="B29" s="192" t="str">
        <f>IF($A29="-","-",IF((COUNTIF($A$27:$A29,$A29)-1)&lt;10,$A29&amp;"-0"&amp;(COUNTIF($A$27:$A29,$A29)-1),$A29&amp;"-"&amp;(COUNTIF($A$27:$A29,$A29)-1)))</f>
        <v>07C-00</v>
      </c>
      <c r="C29" s="79" t="s">
        <v>277</v>
      </c>
      <c r="D29" s="79"/>
      <c r="E29" s="79"/>
      <c r="F29" s="102"/>
      <c r="G29" s="103"/>
      <c r="H29" s="82"/>
      <c r="J29" s="99">
        <f t="shared" ref="J29:J35" si="5">ROUND(F29*G29,2)</f>
        <v>0</v>
      </c>
      <c r="K29" s="69"/>
      <c r="L29" s="99">
        <f t="shared" ref="L29:L35" si="6">ROUND(IF(H29="Yes",J29*13.8%,0),2)</f>
        <v>0</v>
      </c>
      <c r="M29" s="69"/>
      <c r="N29" s="99">
        <f t="shared" ref="N29:N35" si="7">J29+L29</f>
        <v>0</v>
      </c>
      <c r="O29" s="163">
        <f t="shared" si="4"/>
        <v>0</v>
      </c>
    </row>
    <row r="30" spans="1:15" x14ac:dyDescent="0.2">
      <c r="A30" s="100" t="str">
        <f>IF(ISERROR(VLOOKUP(C30,Parameters!$F:$G,2,0)),"-",VLOOKUP(C30,Parameters!$F:$G,2,0))</f>
        <v>07D</v>
      </c>
      <c r="B30" s="192" t="str">
        <f>IF($A30="-","-",IF((COUNTIF($A$27:$A30,$A30)-1)&lt;10,$A30&amp;"-0"&amp;(COUNTIF($A$27:$A30,$A30)-1),$A30&amp;"-"&amp;(COUNTIF($A$27:$A30,$A30)-1)))</f>
        <v>07D-00</v>
      </c>
      <c r="C30" s="79" t="s">
        <v>279</v>
      </c>
      <c r="D30" s="79"/>
      <c r="E30" s="79"/>
      <c r="F30" s="102"/>
      <c r="G30" s="103"/>
      <c r="H30" s="82"/>
      <c r="J30" s="99">
        <f t="shared" si="5"/>
        <v>0</v>
      </c>
      <c r="K30" s="69"/>
      <c r="L30" s="99">
        <f t="shared" si="6"/>
        <v>0</v>
      </c>
      <c r="M30" s="69"/>
      <c r="N30" s="99">
        <f t="shared" si="7"/>
        <v>0</v>
      </c>
      <c r="O30" s="163">
        <f t="shared" si="4"/>
        <v>0</v>
      </c>
    </row>
    <row r="31" spans="1:15" x14ac:dyDescent="0.2">
      <c r="A31" s="100" t="str">
        <f>IF(ISERROR(VLOOKUP(C31,Parameters!$F:$G,2,0)),"-",VLOOKUP(C31,Parameters!$F:$G,2,0))</f>
        <v>07E</v>
      </c>
      <c r="B31" s="192" t="str">
        <f>IF($A31="-","-",IF((COUNTIF($A$27:$A31,$A31)-1)&lt;10,$A31&amp;"-0"&amp;(COUNTIF($A$27:$A31,$A31)-1),$A31&amp;"-"&amp;(COUNTIF($A$27:$A31,$A31)-1)))</f>
        <v>07E-00</v>
      </c>
      <c r="C31" s="79" t="s">
        <v>281</v>
      </c>
      <c r="D31" s="79"/>
      <c r="E31" s="79"/>
      <c r="F31" s="102"/>
      <c r="G31" s="103"/>
      <c r="H31" s="82"/>
      <c r="J31" s="99">
        <f t="shared" si="5"/>
        <v>0</v>
      </c>
      <c r="K31" s="69"/>
      <c r="L31" s="99">
        <f t="shared" si="6"/>
        <v>0</v>
      </c>
      <c r="M31" s="69"/>
      <c r="N31" s="99">
        <f t="shared" si="7"/>
        <v>0</v>
      </c>
      <c r="O31" s="163">
        <f t="shared" si="4"/>
        <v>0</v>
      </c>
    </row>
    <row r="32" spans="1:15" x14ac:dyDescent="0.2">
      <c r="A32" s="100" t="str">
        <f>IF(ISERROR(VLOOKUP(C32,Parameters!$F:$G,2,0)),"-",VLOOKUP(C32,Parameters!$F:$G,2,0))</f>
        <v>07F</v>
      </c>
      <c r="B32" s="192" t="str">
        <f>IF($A32="-","-",IF((COUNTIF($A$27:$A32,$A32)-1)&lt;10,$A32&amp;"-0"&amp;(COUNTIF($A$27:$A32,$A32)-1),$A32&amp;"-"&amp;(COUNTIF($A$27:$A32,$A32)-1)))</f>
        <v>07F-00</v>
      </c>
      <c r="C32" s="79" t="s">
        <v>283</v>
      </c>
      <c r="D32" s="79"/>
      <c r="E32" s="79"/>
      <c r="F32" s="102"/>
      <c r="G32" s="103"/>
      <c r="H32" s="82"/>
      <c r="J32" s="99">
        <f t="shared" si="5"/>
        <v>0</v>
      </c>
      <c r="K32" s="69"/>
      <c r="L32" s="99">
        <f t="shared" si="6"/>
        <v>0</v>
      </c>
      <c r="M32" s="69"/>
      <c r="N32" s="99">
        <f t="shared" si="7"/>
        <v>0</v>
      </c>
      <c r="O32" s="163">
        <f t="shared" si="4"/>
        <v>0</v>
      </c>
    </row>
    <row r="33" spans="1:15" x14ac:dyDescent="0.2">
      <c r="A33" s="100" t="str">
        <f>IF(ISERROR(VLOOKUP(C33,Parameters!$F:$G,2,0)),"-",VLOOKUP(C33,Parameters!$F:$G,2,0))</f>
        <v>07G</v>
      </c>
      <c r="B33" s="192" t="str">
        <f>IF($A33="-","-",IF((COUNTIF($A$27:$A33,$A33)-1)&lt;10,$A33&amp;"-0"&amp;(COUNTIF($A$27:$A33,$A33)-1),$A33&amp;"-"&amp;(COUNTIF($A$27:$A33,$A33)-1)))</f>
        <v>07G-00</v>
      </c>
      <c r="C33" s="79" t="s">
        <v>285</v>
      </c>
      <c r="D33" s="79"/>
      <c r="E33" s="79"/>
      <c r="F33" s="102"/>
      <c r="G33" s="103"/>
      <c r="H33" s="82"/>
      <c r="J33" s="99">
        <f t="shared" si="5"/>
        <v>0</v>
      </c>
      <c r="K33" s="69"/>
      <c r="L33" s="99">
        <f t="shared" si="6"/>
        <v>0</v>
      </c>
      <c r="M33" s="69"/>
      <c r="N33" s="99">
        <f t="shared" si="7"/>
        <v>0</v>
      </c>
      <c r="O33" s="163">
        <f t="shared" si="4"/>
        <v>0</v>
      </c>
    </row>
    <row r="34" spans="1:15" x14ac:dyDescent="0.2">
      <c r="A34" s="100" t="str">
        <f>IF(ISERROR(VLOOKUP(C34,Parameters!$F:$G,2,0)),"-",VLOOKUP(C34,Parameters!$F:$G,2,0))</f>
        <v>07H</v>
      </c>
      <c r="B34" s="192" t="str">
        <f>IF($A34="-","-",IF((COUNTIF($A$27:$A34,$A34)-1)&lt;10,$A34&amp;"-0"&amp;(COUNTIF($A$27:$A34,$A34)-1),$A34&amp;"-"&amp;(COUNTIF($A$27:$A34,$A34)-1)))</f>
        <v>07H-00</v>
      </c>
      <c r="C34" s="79" t="s">
        <v>287</v>
      </c>
      <c r="D34" s="79"/>
      <c r="E34" s="79"/>
      <c r="F34" s="102"/>
      <c r="G34" s="103"/>
      <c r="H34" s="82"/>
      <c r="J34" s="99">
        <f t="shared" si="5"/>
        <v>0</v>
      </c>
      <c r="K34" s="69"/>
      <c r="L34" s="99">
        <f t="shared" si="6"/>
        <v>0</v>
      </c>
      <c r="M34" s="69"/>
      <c r="N34" s="99">
        <f t="shared" si="7"/>
        <v>0</v>
      </c>
      <c r="O34" s="163">
        <f t="shared" si="4"/>
        <v>0</v>
      </c>
    </row>
    <row r="35" spans="1:15" x14ac:dyDescent="0.2">
      <c r="A35" s="100" t="str">
        <f>IF(ISERROR(VLOOKUP(C35,Parameters!$F:$G,2,0)),"-",VLOOKUP(C35,Parameters!$F:$G,2,0))</f>
        <v>07I</v>
      </c>
      <c r="B35" s="192" t="str">
        <f>IF($A35="-","-",IF((COUNTIF($A$27:$A35,$A35)-1)&lt;10,$A35&amp;"-0"&amp;(COUNTIF($A$27:$A35,$A35)-1),$A35&amp;"-"&amp;(COUNTIF($A$27:$A35,$A35)-1)))</f>
        <v>07I-00</v>
      </c>
      <c r="C35" s="79" t="s">
        <v>289</v>
      </c>
      <c r="D35" s="79"/>
      <c r="E35" s="79"/>
      <c r="F35" s="102"/>
      <c r="G35" s="103"/>
      <c r="H35" s="82"/>
      <c r="J35" s="99">
        <f t="shared" si="5"/>
        <v>0</v>
      </c>
      <c r="K35" s="69"/>
      <c r="L35" s="99">
        <f t="shared" si="6"/>
        <v>0</v>
      </c>
      <c r="M35" s="69"/>
      <c r="N35" s="99">
        <f t="shared" si="7"/>
        <v>0</v>
      </c>
      <c r="O35" s="163">
        <f t="shared" si="4"/>
        <v>0</v>
      </c>
    </row>
    <row r="36" spans="1:15" x14ac:dyDescent="0.2">
      <c r="A36" s="100" t="str">
        <f>IF(ISERROR(VLOOKUP(C36,Parameters!$F:$G,2,0)),"-",VLOOKUP(C36,Parameters!$F:$G,2,0))</f>
        <v>07J</v>
      </c>
      <c r="B36" s="192" t="str">
        <f>IF($A36="-","-",IF((COUNTIF($A$27:$A36,$A36)-1)&lt;10,$A36&amp;"-0"&amp;(COUNTIF($A$27:$A36,$A36)-1),$A36&amp;"-"&amp;(COUNTIF($A$27:$A36,$A36)-1)))</f>
        <v>07J-00</v>
      </c>
      <c r="C36" s="79" t="s">
        <v>291</v>
      </c>
      <c r="D36" s="79"/>
      <c r="E36" s="79"/>
      <c r="F36" s="102"/>
      <c r="G36" s="103"/>
      <c r="H36" s="82"/>
      <c r="J36" s="99">
        <f>ROUND(F36*G36,2)</f>
        <v>0</v>
      </c>
      <c r="K36" s="69"/>
      <c r="L36" s="99">
        <f>ROUND(IF(H36="Yes",J36*13.8%,0),2)</f>
        <v>0</v>
      </c>
      <c r="M36" s="69"/>
      <c r="N36" s="99">
        <f>J36+L36</f>
        <v>0</v>
      </c>
      <c r="O36" s="163">
        <f t="shared" si="4"/>
        <v>0</v>
      </c>
    </row>
    <row r="37" spans="1:15" x14ac:dyDescent="0.2">
      <c r="A37" s="100" t="str">
        <f>IF(ISERROR(VLOOKUP(C37,Parameters!$F:$G,2,0)),"-",VLOOKUP(C37,Parameters!$F:$G,2,0))</f>
        <v>07K</v>
      </c>
      <c r="B37" s="192" t="str">
        <f>IF($A37="-","-",IF((COUNTIF($A$27:$A37,$A37)-1)&lt;10,$A37&amp;"-0"&amp;(COUNTIF($A$27:$A37,$A37)-1),$A37&amp;"-"&amp;(COUNTIF($A$27:$A37,$A37)-1)))</f>
        <v>07K-00</v>
      </c>
      <c r="C37" s="79" t="s">
        <v>293</v>
      </c>
      <c r="D37" s="79"/>
      <c r="E37" s="79"/>
      <c r="F37" s="102"/>
      <c r="G37" s="103"/>
      <c r="H37" s="82"/>
      <c r="J37" s="99">
        <f>ROUND(F37*G37,2)</f>
        <v>0</v>
      </c>
      <c r="K37" s="69"/>
      <c r="L37" s="99">
        <f>ROUND(IF(H37="Yes",J37*13.8%,0),2)</f>
        <v>0</v>
      </c>
      <c r="M37" s="69"/>
      <c r="N37" s="99">
        <f>J37+L37</f>
        <v>0</v>
      </c>
      <c r="O37" s="163">
        <f t="shared" si="4"/>
        <v>0</v>
      </c>
    </row>
    <row r="38" spans="1:15" ht="13.5" thickBot="1" x14ac:dyDescent="0.25">
      <c r="A38" s="100" t="str">
        <f>IF(ISERROR(VLOOKUP(C38,Parameters!$F:$G,2,0)),"-",VLOOKUP(C38,Parameters!$F:$G,2,0))</f>
        <v>07L</v>
      </c>
      <c r="B38" s="192" t="str">
        <f>IF($A38="-","-",IF((COUNTIF($A$27:$A38,$A38)-1)&lt;10,$A38&amp;"-0"&amp;(COUNTIF($A$27:$A38,$A38)-1),$A38&amp;"-"&amp;(COUNTIF($A$27:$A38,$A38)-1)))</f>
        <v>07L-00</v>
      </c>
      <c r="C38" s="79" t="s">
        <v>295</v>
      </c>
      <c r="D38" s="79"/>
      <c r="E38" s="79"/>
      <c r="F38" s="102"/>
      <c r="G38" s="103"/>
      <c r="H38" s="82"/>
      <c r="J38" s="101">
        <f>ROUND(F38*G38,2)</f>
        <v>0</v>
      </c>
      <c r="K38" s="69"/>
      <c r="L38" s="101">
        <f>ROUND(IF(H38="Yes",J38*13.8%,0),2)</f>
        <v>0</v>
      </c>
      <c r="M38" s="69"/>
      <c r="N38" s="101">
        <f>J38+L38</f>
        <v>0</v>
      </c>
      <c r="O38" s="163">
        <f t="shared" si="4"/>
        <v>0</v>
      </c>
    </row>
    <row r="39" spans="1:15" x14ac:dyDescent="0.2">
      <c r="A39" s="368" t="str">
        <f>A26&amp;" TOTAL"</f>
        <v>07- TOTAL</v>
      </c>
      <c r="B39" s="369"/>
      <c r="C39" s="369"/>
      <c r="D39" s="369"/>
      <c r="E39" s="369"/>
      <c r="F39" s="369"/>
      <c r="G39" s="369"/>
      <c r="H39" s="370"/>
      <c r="J39" s="374">
        <f>SUM(J26:J38)</f>
        <v>0</v>
      </c>
      <c r="L39" s="374">
        <f>SUM(L26:L38)</f>
        <v>0</v>
      </c>
      <c r="N39" s="374">
        <f>SUM(N26:N38)</f>
        <v>0</v>
      </c>
      <c r="O39" s="135">
        <f>IF(N39=0,0,1)</f>
        <v>0</v>
      </c>
    </row>
    <row r="40" spans="1:15" ht="13.5" thickBot="1" x14ac:dyDescent="0.25">
      <c r="A40" s="371"/>
      <c r="B40" s="372"/>
      <c r="C40" s="372"/>
      <c r="D40" s="372"/>
      <c r="E40" s="372"/>
      <c r="F40" s="372"/>
      <c r="G40" s="372"/>
      <c r="H40" s="373"/>
      <c r="J40" s="375"/>
      <c r="L40" s="375"/>
      <c r="N40" s="375"/>
      <c r="O40" s="135">
        <f>O39</f>
        <v>0</v>
      </c>
    </row>
    <row r="41" spans="1:15" x14ac:dyDescent="0.2">
      <c r="J41" s="195">
        <f>J39</f>
        <v>0</v>
      </c>
      <c r="O41" s="163">
        <f>IF(N39=0,0,1)</f>
        <v>0</v>
      </c>
    </row>
    <row r="42" spans="1:15" x14ac:dyDescent="0.2">
      <c r="J42" s="195">
        <f>J41</f>
        <v>0</v>
      </c>
      <c r="O42" s="163">
        <f>O41</f>
        <v>0</v>
      </c>
    </row>
    <row r="43" spans="1:15" ht="13.5" thickBot="1" x14ac:dyDescent="0.25">
      <c r="J43" s="195">
        <f>J42</f>
        <v>0</v>
      </c>
      <c r="O43" s="163">
        <f>O42</f>
        <v>0</v>
      </c>
    </row>
    <row r="44" spans="1:15" ht="39" thickBot="1" x14ac:dyDescent="0.25">
      <c r="A44" s="53" t="s">
        <v>94</v>
      </c>
      <c r="B44" s="54" t="s">
        <v>934</v>
      </c>
      <c r="C44" s="54" t="s">
        <v>922</v>
      </c>
      <c r="D44" s="54" t="s">
        <v>923</v>
      </c>
      <c r="E44" s="54" t="s">
        <v>924</v>
      </c>
      <c r="F44" s="54" t="s">
        <v>954</v>
      </c>
      <c r="G44" s="54" t="s">
        <v>929</v>
      </c>
      <c r="H44" s="56" t="s">
        <v>955</v>
      </c>
      <c r="I44" s="63"/>
      <c r="J44" s="97" t="str">
        <f>"Basic - "&amp;Currency</f>
        <v>Basic - £</v>
      </c>
      <c r="K44" s="63"/>
      <c r="L44" s="64" t="str">
        <f>"NI - "&amp;Currency</f>
        <v>NI - £</v>
      </c>
      <c r="M44" s="63"/>
      <c r="N44" s="64" t="str">
        <f>"Total - "&amp;Currency</f>
        <v>Total - £</v>
      </c>
      <c r="O44" s="163">
        <f>IF(N52=0,0,1)</f>
        <v>0</v>
      </c>
    </row>
    <row r="45" spans="1:15" x14ac:dyDescent="0.2">
      <c r="A45" s="188" t="s">
        <v>959</v>
      </c>
      <c r="B45" s="189" t="s">
        <v>967</v>
      </c>
      <c r="C45" s="190"/>
      <c r="D45" s="190"/>
      <c r="E45" s="190"/>
      <c r="F45" s="190"/>
      <c r="G45" s="190"/>
      <c r="H45" s="191"/>
      <c r="J45" s="196" t="s">
        <v>996</v>
      </c>
      <c r="L45" s="98"/>
      <c r="N45" s="98"/>
      <c r="O45" s="163">
        <f>O44</f>
        <v>0</v>
      </c>
    </row>
    <row r="46" spans="1:15" x14ac:dyDescent="0.2">
      <c r="A46" s="184" t="str">
        <f>IF(ISERROR(VLOOKUP(C46,Parameters!$F:$G,2,0)),"-",VLOOKUP(C46,Parameters!$F:$G,2,0))</f>
        <v>08A</v>
      </c>
      <c r="B46" s="192" t="str">
        <f>IF($A46="-","-",IF((COUNTIF($A$46:$A46,$A46)-1)&lt;10,$A46&amp;"-0"&amp;(COUNTIF($A$46:$A46,$A46)-1),$A46&amp;"-"&amp;(COUNTIF($A$46:$A46,$A46)-1)))</f>
        <v>08A-00</v>
      </c>
      <c r="C46" s="79" t="s">
        <v>297</v>
      </c>
      <c r="D46" s="79"/>
      <c r="E46" s="79"/>
      <c r="F46" s="102"/>
      <c r="G46" s="103"/>
      <c r="H46" s="82"/>
      <c r="J46" s="99">
        <f t="shared" ref="J46:J51" si="8">ROUND(F46*G46,2)</f>
        <v>0</v>
      </c>
      <c r="K46" s="69"/>
      <c r="L46" s="99">
        <f t="shared" ref="L46:L51" si="9">ROUND(IF(H46="Yes",J46*13.8%,0),2)</f>
        <v>0</v>
      </c>
      <c r="M46" s="69"/>
      <c r="N46" s="99">
        <f t="shared" ref="N46:N51" si="10">J46+L46</f>
        <v>0</v>
      </c>
      <c r="O46" s="163">
        <f t="shared" ref="O46:O52" si="11">IF(N46=0,0,1)</f>
        <v>0</v>
      </c>
    </row>
    <row r="47" spans="1:15" x14ac:dyDescent="0.2">
      <c r="A47" s="100" t="str">
        <f>IF(ISERROR(VLOOKUP(C47,Parameters!$F:$G,2,0)),"-",VLOOKUP(C47,Parameters!$F:$G,2,0))</f>
        <v>08B</v>
      </c>
      <c r="B47" s="192" t="str">
        <f>IF($A47="-","-",IF((COUNTIF($A$46:$A47,$A47)-1)&lt;10,$A47&amp;"-0"&amp;(COUNTIF($A$46:$A47,$A47)-1),$A47&amp;"-"&amp;(COUNTIF($A$46:$A47,$A47)-1)))</f>
        <v>08B-00</v>
      </c>
      <c r="C47" s="79" t="s">
        <v>299</v>
      </c>
      <c r="D47" s="79"/>
      <c r="E47" s="79"/>
      <c r="F47" s="102"/>
      <c r="G47" s="103"/>
      <c r="H47" s="82"/>
      <c r="J47" s="99">
        <f t="shared" si="8"/>
        <v>0</v>
      </c>
      <c r="K47" s="69"/>
      <c r="L47" s="99">
        <f t="shared" si="9"/>
        <v>0</v>
      </c>
      <c r="M47" s="69"/>
      <c r="N47" s="99">
        <f t="shared" si="10"/>
        <v>0</v>
      </c>
      <c r="O47" s="163">
        <f t="shared" si="11"/>
        <v>0</v>
      </c>
    </row>
    <row r="48" spans="1:15" x14ac:dyDescent="0.2">
      <c r="A48" s="100" t="str">
        <f>IF(ISERROR(VLOOKUP(C48,Parameters!$F:$G,2,0)),"-",VLOOKUP(C48,Parameters!$F:$G,2,0))</f>
        <v>08C</v>
      </c>
      <c r="B48" s="192" t="str">
        <f>IF($A48="-","-",IF((COUNTIF($A$46:$A48,$A48)-1)&lt;10,$A48&amp;"-0"&amp;(COUNTIF($A$46:$A48,$A48)-1),$A48&amp;"-"&amp;(COUNTIF($A$46:$A48,$A48)-1)))</f>
        <v>08C-00</v>
      </c>
      <c r="C48" s="79" t="s">
        <v>301</v>
      </c>
      <c r="D48" s="79"/>
      <c r="E48" s="79"/>
      <c r="F48" s="102"/>
      <c r="G48" s="103"/>
      <c r="H48" s="82"/>
      <c r="J48" s="99">
        <f t="shared" si="8"/>
        <v>0</v>
      </c>
      <c r="K48" s="69"/>
      <c r="L48" s="99">
        <f t="shared" si="9"/>
        <v>0</v>
      </c>
      <c r="M48" s="69"/>
      <c r="N48" s="99">
        <f t="shared" si="10"/>
        <v>0</v>
      </c>
      <c r="O48" s="163">
        <f t="shared" si="11"/>
        <v>0</v>
      </c>
    </row>
    <row r="49" spans="1:15" x14ac:dyDescent="0.2">
      <c r="A49" s="100" t="str">
        <f>IF(ISERROR(VLOOKUP(C49,Parameters!$F:$G,2,0)),"-",VLOOKUP(C49,Parameters!$F:$G,2,0))</f>
        <v>08D</v>
      </c>
      <c r="B49" s="192" t="str">
        <f>IF($A49="-","-",IF((COUNTIF($A$46:$A49,$A49)-1)&lt;10,$A49&amp;"-0"&amp;(COUNTIF($A$46:$A49,$A49)-1),$A49&amp;"-"&amp;(COUNTIF($A$46:$A49,$A49)-1)))</f>
        <v>08D-00</v>
      </c>
      <c r="C49" s="79" t="s">
        <v>303</v>
      </c>
      <c r="D49" s="79"/>
      <c r="E49" s="79"/>
      <c r="F49" s="102"/>
      <c r="G49" s="103"/>
      <c r="H49" s="82"/>
      <c r="J49" s="99">
        <f t="shared" si="8"/>
        <v>0</v>
      </c>
      <c r="K49" s="69"/>
      <c r="L49" s="99">
        <f t="shared" si="9"/>
        <v>0</v>
      </c>
      <c r="M49" s="69"/>
      <c r="N49" s="99">
        <f t="shared" si="10"/>
        <v>0</v>
      </c>
      <c r="O49" s="163">
        <f t="shared" si="11"/>
        <v>0</v>
      </c>
    </row>
    <row r="50" spans="1:15" x14ac:dyDescent="0.2">
      <c r="A50" s="100" t="str">
        <f>IF(ISERROR(VLOOKUP(C50,Parameters!$F:$G,2,0)),"-",VLOOKUP(C50,Parameters!$F:$G,2,0))</f>
        <v>08E</v>
      </c>
      <c r="B50" s="192" t="str">
        <f>IF($A50="-","-",IF((COUNTIF($A$46:$A50,$A50)-1)&lt;10,$A50&amp;"-0"&amp;(COUNTIF($A$46:$A50,$A50)-1),$A50&amp;"-"&amp;(COUNTIF($A$46:$A50,$A50)-1)))</f>
        <v>08E-00</v>
      </c>
      <c r="C50" s="79" t="s">
        <v>305</v>
      </c>
      <c r="D50" s="79"/>
      <c r="E50" s="79"/>
      <c r="F50" s="102"/>
      <c r="G50" s="103"/>
      <c r="H50" s="82"/>
      <c r="J50" s="99">
        <f t="shared" si="8"/>
        <v>0</v>
      </c>
      <c r="K50" s="69"/>
      <c r="L50" s="99">
        <f t="shared" si="9"/>
        <v>0</v>
      </c>
      <c r="M50" s="69"/>
      <c r="N50" s="99">
        <f t="shared" si="10"/>
        <v>0</v>
      </c>
      <c r="O50" s="163">
        <f t="shared" si="11"/>
        <v>0</v>
      </c>
    </row>
    <row r="51" spans="1:15" ht="13.5" thickBot="1" x14ac:dyDescent="0.25">
      <c r="A51" s="100" t="str">
        <f>IF(ISERROR(VLOOKUP(C51,Parameters!$F:$G,2,0)),"-",VLOOKUP(C51,Parameters!$F:$G,2,0))</f>
        <v>08F</v>
      </c>
      <c r="B51" s="192" t="str">
        <f>IF($A51="-","-",IF((COUNTIF($A$46:$A51,$A51)-1)&lt;10,$A51&amp;"-0"&amp;(COUNTIF($A$46:$A51,$A51)-1),$A51&amp;"-"&amp;(COUNTIF($A$46:$A51,$A51)-1)))</f>
        <v>08F-00</v>
      </c>
      <c r="C51" s="79" t="s">
        <v>307</v>
      </c>
      <c r="D51" s="79"/>
      <c r="E51" s="79"/>
      <c r="F51" s="102"/>
      <c r="G51" s="103"/>
      <c r="H51" s="82"/>
      <c r="J51" s="101">
        <f t="shared" si="8"/>
        <v>0</v>
      </c>
      <c r="K51" s="69"/>
      <c r="L51" s="101">
        <f t="shared" si="9"/>
        <v>0</v>
      </c>
      <c r="M51" s="69"/>
      <c r="N51" s="101">
        <f t="shared" si="10"/>
        <v>0</v>
      </c>
      <c r="O51" s="163">
        <f t="shared" si="11"/>
        <v>0</v>
      </c>
    </row>
    <row r="52" spans="1:15" x14ac:dyDescent="0.2">
      <c r="A52" s="368" t="str">
        <f>A45&amp;" TOTAL"</f>
        <v>08 - TOTAL</v>
      </c>
      <c r="B52" s="369"/>
      <c r="C52" s="369"/>
      <c r="D52" s="369"/>
      <c r="E52" s="369"/>
      <c r="F52" s="369"/>
      <c r="G52" s="369"/>
      <c r="H52" s="370"/>
      <c r="J52" s="374">
        <f>SUM(J45:J51)</f>
        <v>0</v>
      </c>
      <c r="L52" s="374">
        <f>SUM(L45:L51)</f>
        <v>0</v>
      </c>
      <c r="N52" s="374">
        <f>SUM(N45:N51)</f>
        <v>0</v>
      </c>
      <c r="O52" s="135">
        <f t="shared" si="11"/>
        <v>0</v>
      </c>
    </row>
    <row r="53" spans="1:15" ht="13.5" thickBot="1" x14ac:dyDescent="0.25">
      <c r="A53" s="371"/>
      <c r="B53" s="372"/>
      <c r="C53" s="372"/>
      <c r="D53" s="372"/>
      <c r="E53" s="372"/>
      <c r="F53" s="372"/>
      <c r="G53" s="372"/>
      <c r="H53" s="373"/>
      <c r="J53" s="375"/>
      <c r="L53" s="375"/>
      <c r="N53" s="375"/>
      <c r="O53" s="135">
        <f>O52</f>
        <v>0</v>
      </c>
    </row>
    <row r="54" spans="1:15" x14ac:dyDescent="0.2">
      <c r="J54" s="195">
        <f>J52</f>
        <v>0</v>
      </c>
      <c r="O54" s="163">
        <f>IF(N52=0,0,1)</f>
        <v>0</v>
      </c>
    </row>
    <row r="55" spans="1:15" x14ac:dyDescent="0.2">
      <c r="J55" s="195">
        <f>J54</f>
        <v>0</v>
      </c>
      <c r="O55" s="163">
        <f>O54</f>
        <v>0</v>
      </c>
    </row>
    <row r="56" spans="1:15" ht="13.5" thickBot="1" x14ac:dyDescent="0.25">
      <c r="J56" s="195">
        <f>J55</f>
        <v>0</v>
      </c>
      <c r="O56" s="163">
        <f>O55</f>
        <v>0</v>
      </c>
    </row>
    <row r="57" spans="1:15" ht="39" thickBot="1" x14ac:dyDescent="0.25">
      <c r="A57" s="53" t="s">
        <v>94</v>
      </c>
      <c r="B57" s="54" t="s">
        <v>934</v>
      </c>
      <c r="C57" s="54" t="s">
        <v>922</v>
      </c>
      <c r="D57" s="54" t="s">
        <v>923</v>
      </c>
      <c r="E57" s="54" t="s">
        <v>924</v>
      </c>
      <c r="F57" s="54" t="s">
        <v>954</v>
      </c>
      <c r="G57" s="54" t="s">
        <v>929</v>
      </c>
      <c r="H57" s="56" t="s">
        <v>955</v>
      </c>
      <c r="I57" s="63"/>
      <c r="J57" s="97" t="str">
        <f>"Basic - "&amp;Currency</f>
        <v>Basic - £</v>
      </c>
      <c r="K57" s="63"/>
      <c r="L57" s="64" t="str">
        <f>"NI - "&amp;Currency</f>
        <v>NI - £</v>
      </c>
      <c r="M57" s="63"/>
      <c r="N57" s="64" t="str">
        <f>"Total - "&amp;Currency</f>
        <v>Total - £</v>
      </c>
      <c r="O57" s="163">
        <f>IF(N67=0,0,1)</f>
        <v>0</v>
      </c>
    </row>
    <row r="58" spans="1:15" x14ac:dyDescent="0.2">
      <c r="A58" s="188" t="s">
        <v>960</v>
      </c>
      <c r="B58" s="189" t="s">
        <v>968</v>
      </c>
      <c r="C58" s="190"/>
      <c r="D58" s="190"/>
      <c r="E58" s="190"/>
      <c r="F58" s="190"/>
      <c r="G58" s="190"/>
      <c r="H58" s="191"/>
      <c r="J58" s="196" t="s">
        <v>996</v>
      </c>
      <c r="L58" s="98"/>
      <c r="N58" s="98"/>
      <c r="O58" s="163">
        <f>O57</f>
        <v>0</v>
      </c>
    </row>
    <row r="59" spans="1:15" x14ac:dyDescent="0.2">
      <c r="A59" s="184" t="str">
        <f>IF(ISERROR(VLOOKUP(C59,Parameters!$F:$G,2,0)),"-",VLOOKUP(C59,Parameters!$F:$G,2,0))</f>
        <v>09A</v>
      </c>
      <c r="B59" s="192" t="str">
        <f>IF($A59="-","-",IF((COUNTIF($A$59:$A59,$A59)-1)&lt;10,$A59&amp;"-0"&amp;(COUNTIF($A$59:$A59,$A59)-1),$A59&amp;"-"&amp;(COUNTIF($A$59:$A59,$A59)-1)))</f>
        <v>09A-00</v>
      </c>
      <c r="C59" s="79" t="s">
        <v>309</v>
      </c>
      <c r="D59" s="79"/>
      <c r="E59" s="79"/>
      <c r="F59" s="102"/>
      <c r="G59" s="103"/>
      <c r="H59" s="82"/>
      <c r="J59" s="99">
        <f>ROUND(F59*G59,2)</f>
        <v>0</v>
      </c>
      <c r="K59" s="69"/>
      <c r="L59" s="99">
        <f>ROUND(IF(H59="Yes",J59*13.8%,0),2)</f>
        <v>0</v>
      </c>
      <c r="M59" s="69"/>
      <c r="N59" s="99">
        <f>J59+L59</f>
        <v>0</v>
      </c>
      <c r="O59" s="163">
        <f>IF(N59=0,0,1)</f>
        <v>0</v>
      </c>
    </row>
    <row r="60" spans="1:15" x14ac:dyDescent="0.2">
      <c r="A60" s="100" t="str">
        <f>IF(ISERROR(VLOOKUP(C60,Parameters!$F:$G,2,0)),"-",VLOOKUP(C60,Parameters!$F:$G,2,0))</f>
        <v>09B</v>
      </c>
      <c r="B60" s="192" t="str">
        <f>IF($A60="-","-",IF((COUNTIF($A$59:$A60,$A60)-1)&lt;10,$A60&amp;"-0"&amp;(COUNTIF($A$59:$A60,$A60)-1),$A60&amp;"-"&amp;(COUNTIF($A$59:$A60,$A60)-1)))</f>
        <v>09B-00</v>
      </c>
      <c r="C60" s="79" t="s">
        <v>311</v>
      </c>
      <c r="D60" s="79"/>
      <c r="E60" s="79"/>
      <c r="F60" s="102"/>
      <c r="G60" s="103"/>
      <c r="H60" s="82"/>
      <c r="J60" s="99">
        <f t="shared" ref="J60:J66" si="12">ROUND(F60*G60,2)</f>
        <v>0</v>
      </c>
      <c r="K60" s="69"/>
      <c r="L60" s="99">
        <f t="shared" ref="L60:L66" si="13">ROUND(IF(H60="Yes",J60*13.8%,0),2)</f>
        <v>0</v>
      </c>
      <c r="M60" s="69"/>
      <c r="N60" s="99">
        <f t="shared" ref="N60:N66" si="14">J60+L60</f>
        <v>0</v>
      </c>
      <c r="O60" s="163">
        <f t="shared" ref="O60:O66" si="15">IF(N60=0,0,1)</f>
        <v>0</v>
      </c>
    </row>
    <row r="61" spans="1:15" x14ac:dyDescent="0.2">
      <c r="A61" s="100" t="str">
        <f>IF(ISERROR(VLOOKUP(C61,Parameters!$F:$G,2,0)),"-",VLOOKUP(C61,Parameters!$F:$G,2,0))</f>
        <v>09C</v>
      </c>
      <c r="B61" s="192" t="str">
        <f>IF($A61="-","-",IF((COUNTIF($A$59:$A61,$A61)-1)&lt;10,$A61&amp;"-0"&amp;(COUNTIF($A$59:$A61,$A61)-1),$A61&amp;"-"&amp;(COUNTIF($A$59:$A61,$A61)-1)))</f>
        <v>09C-00</v>
      </c>
      <c r="C61" s="79" t="s">
        <v>313</v>
      </c>
      <c r="D61" s="79"/>
      <c r="E61" s="79"/>
      <c r="F61" s="102"/>
      <c r="G61" s="103"/>
      <c r="H61" s="82"/>
      <c r="J61" s="99">
        <f t="shared" si="12"/>
        <v>0</v>
      </c>
      <c r="K61" s="69"/>
      <c r="L61" s="99">
        <f t="shared" si="13"/>
        <v>0</v>
      </c>
      <c r="M61" s="69"/>
      <c r="N61" s="99">
        <f t="shared" si="14"/>
        <v>0</v>
      </c>
      <c r="O61" s="163">
        <f t="shared" si="15"/>
        <v>0</v>
      </c>
    </row>
    <row r="62" spans="1:15" x14ac:dyDescent="0.2">
      <c r="A62" s="100" t="str">
        <f>IF(ISERROR(VLOOKUP(C62,Parameters!$F:$G,2,0)),"-",VLOOKUP(C62,Parameters!$F:$G,2,0))</f>
        <v>09D</v>
      </c>
      <c r="B62" s="192" t="str">
        <f>IF($A62="-","-",IF((COUNTIF($A$59:$A62,$A62)-1)&lt;10,$A62&amp;"-0"&amp;(COUNTIF($A$59:$A62,$A62)-1),$A62&amp;"-"&amp;(COUNTIF($A$59:$A62,$A62)-1)))</f>
        <v>09D-00</v>
      </c>
      <c r="C62" s="79" t="s">
        <v>315</v>
      </c>
      <c r="D62" s="79"/>
      <c r="E62" s="79"/>
      <c r="F62" s="102"/>
      <c r="G62" s="103"/>
      <c r="H62" s="82"/>
      <c r="J62" s="99">
        <f t="shared" si="12"/>
        <v>0</v>
      </c>
      <c r="K62" s="69"/>
      <c r="L62" s="99">
        <f t="shared" si="13"/>
        <v>0</v>
      </c>
      <c r="M62" s="69"/>
      <c r="N62" s="99">
        <f t="shared" si="14"/>
        <v>0</v>
      </c>
      <c r="O62" s="163">
        <f t="shared" si="15"/>
        <v>0</v>
      </c>
    </row>
    <row r="63" spans="1:15" x14ac:dyDescent="0.2">
      <c r="A63" s="100" t="str">
        <f>IF(ISERROR(VLOOKUP(C63,Parameters!$F:$G,2,0)),"-",VLOOKUP(C63,Parameters!$F:$G,2,0))</f>
        <v>09E</v>
      </c>
      <c r="B63" s="192" t="str">
        <f>IF($A63="-","-",IF((COUNTIF($A$59:$A63,$A63)-1)&lt;10,$A63&amp;"-0"&amp;(COUNTIF($A$59:$A63,$A63)-1),$A63&amp;"-"&amp;(COUNTIF($A$59:$A63,$A63)-1)))</f>
        <v>09E-00</v>
      </c>
      <c r="C63" s="79" t="s">
        <v>317</v>
      </c>
      <c r="D63" s="79"/>
      <c r="E63" s="79"/>
      <c r="F63" s="102"/>
      <c r="G63" s="103"/>
      <c r="H63" s="82"/>
      <c r="J63" s="99">
        <f t="shared" si="12"/>
        <v>0</v>
      </c>
      <c r="K63" s="69"/>
      <c r="L63" s="99">
        <f t="shared" si="13"/>
        <v>0</v>
      </c>
      <c r="M63" s="69"/>
      <c r="N63" s="99">
        <f t="shared" si="14"/>
        <v>0</v>
      </c>
      <c r="O63" s="163">
        <f t="shared" si="15"/>
        <v>0</v>
      </c>
    </row>
    <row r="64" spans="1:15" x14ac:dyDescent="0.2">
      <c r="A64" s="100" t="str">
        <f>IF(ISERROR(VLOOKUP(C64,Parameters!$F:$G,2,0)),"-",VLOOKUP(C64,Parameters!$F:$G,2,0))</f>
        <v>09F</v>
      </c>
      <c r="B64" s="192" t="str">
        <f>IF($A64="-","-",IF((COUNTIF($A$59:$A64,$A64)-1)&lt;10,$A64&amp;"-0"&amp;(COUNTIF($A$59:$A64,$A64)-1),$A64&amp;"-"&amp;(COUNTIF($A$59:$A64,$A64)-1)))</f>
        <v>09F-00</v>
      </c>
      <c r="C64" s="79" t="s">
        <v>319</v>
      </c>
      <c r="D64" s="79"/>
      <c r="E64" s="79"/>
      <c r="F64" s="102"/>
      <c r="G64" s="103"/>
      <c r="H64" s="82"/>
      <c r="J64" s="99">
        <f>ROUND(F64*G64,2)</f>
        <v>0</v>
      </c>
      <c r="K64" s="69"/>
      <c r="L64" s="99">
        <f>ROUND(IF(H64="Yes",J64*13.8%,0),2)</f>
        <v>0</v>
      </c>
      <c r="M64" s="69"/>
      <c r="N64" s="99">
        <f>J64+L64</f>
        <v>0</v>
      </c>
      <c r="O64" s="163">
        <f t="shared" si="15"/>
        <v>0</v>
      </c>
    </row>
    <row r="65" spans="1:15" x14ac:dyDescent="0.2">
      <c r="A65" s="100" t="str">
        <f>IF(ISERROR(VLOOKUP(C65,Parameters!$F:$G,2,0)),"-",VLOOKUP(C65,Parameters!$F:$G,2,0))</f>
        <v>09G</v>
      </c>
      <c r="B65" s="192" t="str">
        <f>IF($A65="-","-",IF((COUNTIF($A$59:$A65,$A65)-1)&lt;10,$A65&amp;"-0"&amp;(COUNTIF($A$59:$A65,$A65)-1),$A65&amp;"-"&amp;(COUNTIF($A$59:$A65,$A65)-1)))</f>
        <v>09G-00</v>
      </c>
      <c r="C65" s="79" t="s">
        <v>321</v>
      </c>
      <c r="D65" s="79"/>
      <c r="E65" s="79"/>
      <c r="F65" s="102"/>
      <c r="G65" s="103"/>
      <c r="H65" s="82"/>
      <c r="J65" s="99">
        <f>ROUND(F65*G65,2)</f>
        <v>0</v>
      </c>
      <c r="K65" s="69"/>
      <c r="L65" s="99">
        <f>ROUND(IF(H65="Yes",J65*13.8%,0),2)</f>
        <v>0</v>
      </c>
      <c r="M65" s="69"/>
      <c r="N65" s="99">
        <f>J65+L65</f>
        <v>0</v>
      </c>
      <c r="O65" s="163">
        <f t="shared" si="15"/>
        <v>0</v>
      </c>
    </row>
    <row r="66" spans="1:15" ht="13.5" thickBot="1" x14ac:dyDescent="0.25">
      <c r="A66" s="100" t="str">
        <f>IF(ISERROR(VLOOKUP(C66,Parameters!$F:$G,2,0)),"-",VLOOKUP(C66,Parameters!$F:$G,2,0))</f>
        <v>09H</v>
      </c>
      <c r="B66" s="192" t="str">
        <f>IF($A66="-","-",IF((COUNTIF($A$59:$A66,$A66)-1)&lt;10,$A66&amp;"-0"&amp;(COUNTIF($A$59:$A66,$A66)-1),$A66&amp;"-"&amp;(COUNTIF($A$59:$A66,$A66)-1)))</f>
        <v>09H-00</v>
      </c>
      <c r="C66" s="79" t="s">
        <v>323</v>
      </c>
      <c r="D66" s="79"/>
      <c r="E66" s="79"/>
      <c r="F66" s="102"/>
      <c r="G66" s="103"/>
      <c r="H66" s="82"/>
      <c r="J66" s="101">
        <f t="shared" si="12"/>
        <v>0</v>
      </c>
      <c r="K66" s="69"/>
      <c r="L66" s="101">
        <f t="shared" si="13"/>
        <v>0</v>
      </c>
      <c r="M66" s="69"/>
      <c r="N66" s="101">
        <f t="shared" si="14"/>
        <v>0</v>
      </c>
      <c r="O66" s="163">
        <f t="shared" si="15"/>
        <v>0</v>
      </c>
    </row>
    <row r="67" spans="1:15" x14ac:dyDescent="0.2">
      <c r="A67" s="368" t="str">
        <f>A58&amp;" TOTAL"</f>
        <v>09 - TOTAL</v>
      </c>
      <c r="B67" s="369"/>
      <c r="C67" s="369"/>
      <c r="D67" s="369"/>
      <c r="E67" s="369"/>
      <c r="F67" s="369"/>
      <c r="G67" s="369"/>
      <c r="H67" s="370"/>
      <c r="J67" s="374">
        <f>SUM(J58:J66)</f>
        <v>0</v>
      </c>
      <c r="L67" s="374">
        <f>SUM(L58:L66)</f>
        <v>0</v>
      </c>
      <c r="N67" s="374">
        <f>SUM(N58:N66)</f>
        <v>0</v>
      </c>
      <c r="O67" s="135">
        <f>IF(N67=0,0,1)</f>
        <v>0</v>
      </c>
    </row>
    <row r="68" spans="1:15" ht="13.5" thickBot="1" x14ac:dyDescent="0.25">
      <c r="A68" s="371"/>
      <c r="B68" s="372"/>
      <c r="C68" s="372"/>
      <c r="D68" s="372"/>
      <c r="E68" s="372"/>
      <c r="F68" s="372"/>
      <c r="G68" s="372"/>
      <c r="H68" s="373"/>
      <c r="J68" s="375"/>
      <c r="L68" s="375"/>
      <c r="N68" s="375"/>
      <c r="O68" s="135">
        <f>O67</f>
        <v>0</v>
      </c>
    </row>
    <row r="69" spans="1:15" x14ac:dyDescent="0.2">
      <c r="J69" s="195">
        <f>J67</f>
        <v>0</v>
      </c>
      <c r="O69" s="163">
        <f>IF(N67=0,0,1)</f>
        <v>0</v>
      </c>
    </row>
    <row r="70" spans="1:15" x14ac:dyDescent="0.2">
      <c r="J70" s="195">
        <f>J69</f>
        <v>0</v>
      </c>
      <c r="O70" s="163">
        <f>O69</f>
        <v>0</v>
      </c>
    </row>
    <row r="71" spans="1:15" ht="13.5" thickBot="1" x14ac:dyDescent="0.25">
      <c r="J71" s="195">
        <f>J70</f>
        <v>0</v>
      </c>
      <c r="O71" s="163">
        <f>O70</f>
        <v>0</v>
      </c>
    </row>
    <row r="72" spans="1:15" ht="39" thickBot="1" x14ac:dyDescent="0.25">
      <c r="A72" s="53" t="s">
        <v>94</v>
      </c>
      <c r="B72" s="54" t="s">
        <v>934</v>
      </c>
      <c r="C72" s="54" t="s">
        <v>922</v>
      </c>
      <c r="D72" s="54" t="s">
        <v>923</v>
      </c>
      <c r="E72" s="54" t="s">
        <v>924</v>
      </c>
      <c r="F72" s="54" t="s">
        <v>954</v>
      </c>
      <c r="G72" s="54" t="s">
        <v>929</v>
      </c>
      <c r="H72" s="56" t="s">
        <v>955</v>
      </c>
      <c r="I72" s="63"/>
      <c r="J72" s="97" t="str">
        <f>"Basic - "&amp;Currency</f>
        <v>Basic - £</v>
      </c>
      <c r="K72" s="63"/>
      <c r="L72" s="64" t="str">
        <f>"NI - "&amp;Currency</f>
        <v>NI - £</v>
      </c>
      <c r="M72" s="63"/>
      <c r="N72" s="64" t="str">
        <f>"Total - "&amp;Currency</f>
        <v>Total - £</v>
      </c>
      <c r="O72" s="163">
        <f>IF(N97=0,0,1)</f>
        <v>0</v>
      </c>
    </row>
    <row r="73" spans="1:15" x14ac:dyDescent="0.2">
      <c r="A73" s="188" t="s">
        <v>961</v>
      </c>
      <c r="B73" s="189" t="s">
        <v>969</v>
      </c>
      <c r="C73" s="190"/>
      <c r="D73" s="190"/>
      <c r="E73" s="190"/>
      <c r="F73" s="190"/>
      <c r="G73" s="190"/>
      <c r="H73" s="191"/>
      <c r="J73" s="196" t="s">
        <v>996</v>
      </c>
      <c r="L73" s="98"/>
      <c r="N73" s="98"/>
      <c r="O73" s="163">
        <f>O72</f>
        <v>0</v>
      </c>
    </row>
    <row r="74" spans="1:15" x14ac:dyDescent="0.2">
      <c r="A74" s="184" t="str">
        <f>IF(ISERROR(VLOOKUP(C74,Parameters!$F:$G,2,0)),"-",VLOOKUP(C74,Parameters!$F:$G,2,0))</f>
        <v>10A</v>
      </c>
      <c r="B74" s="192" t="str">
        <f>IF($A74="-","-",IF((COUNTIF($A$74:$A74,$A74)-1)&lt;10,$A74&amp;"-0"&amp;(COUNTIF($A$74:$A74,$A74)-1),$A74&amp;"-"&amp;(COUNTIF($A$74:$A74,$A74)-1)))</f>
        <v>10A-00</v>
      </c>
      <c r="C74" s="79" t="s">
        <v>325</v>
      </c>
      <c r="D74" s="79"/>
      <c r="E74" s="79"/>
      <c r="F74" s="102"/>
      <c r="G74" s="103"/>
      <c r="H74" s="82"/>
      <c r="J74" s="99">
        <f>ROUND(F74*G74,2)</f>
        <v>0</v>
      </c>
      <c r="K74" s="69"/>
      <c r="L74" s="99">
        <f>ROUND(IF(H74="Yes",J74*13.8%,0),2)</f>
        <v>0</v>
      </c>
      <c r="M74" s="69"/>
      <c r="N74" s="99">
        <f>J74+L74</f>
        <v>0</v>
      </c>
      <c r="O74" s="163">
        <f>IF(N74=0,0,1)</f>
        <v>0</v>
      </c>
    </row>
    <row r="75" spans="1:15" x14ac:dyDescent="0.2">
      <c r="A75" s="100" t="str">
        <f>IF(ISERROR(VLOOKUP(C75,Parameters!$F:$G,2,0)),"-",VLOOKUP(C75,Parameters!$F:$G,2,0))</f>
        <v>10B</v>
      </c>
      <c r="B75" s="192" t="str">
        <f>IF($A75="-","-",IF((COUNTIF($A$74:$A75,$A75)-1)&lt;10,$A75&amp;"-0"&amp;(COUNTIF($A$74:$A75,$A75)-1),$A75&amp;"-"&amp;(COUNTIF($A$74:$A75,$A75)-1)))</f>
        <v>10B-00</v>
      </c>
      <c r="C75" s="79" t="s">
        <v>327</v>
      </c>
      <c r="D75" s="79"/>
      <c r="E75" s="79"/>
      <c r="F75" s="102"/>
      <c r="G75" s="103"/>
      <c r="H75" s="82"/>
      <c r="J75" s="99">
        <f>ROUND(F75*G75,2)</f>
        <v>0</v>
      </c>
      <c r="K75" s="69"/>
      <c r="L75" s="99">
        <f>ROUND(IF(H75="Yes",J75*13.8%,0),2)</f>
        <v>0</v>
      </c>
      <c r="M75" s="69"/>
      <c r="N75" s="99">
        <f>J75+L75</f>
        <v>0</v>
      </c>
      <c r="O75" s="163">
        <f t="shared" ref="O75:O96" si="16">IF(N75=0,0,1)</f>
        <v>0</v>
      </c>
    </row>
    <row r="76" spans="1:15" x14ac:dyDescent="0.2">
      <c r="A76" s="100" t="str">
        <f>IF(ISERROR(VLOOKUP(C76,Parameters!$F:$G,2,0)),"-",VLOOKUP(C76,Parameters!$F:$G,2,0))</f>
        <v>10C</v>
      </c>
      <c r="B76" s="192" t="str">
        <f>IF($A76="-","-",IF((COUNTIF($A$74:$A76,$A76)-1)&lt;10,$A76&amp;"-0"&amp;(COUNTIF($A$74:$A76,$A76)-1),$A76&amp;"-"&amp;(COUNTIF($A$74:$A76,$A76)-1)))</f>
        <v>10C-00</v>
      </c>
      <c r="C76" s="79" t="s">
        <v>329</v>
      </c>
      <c r="D76" s="79"/>
      <c r="E76" s="79"/>
      <c r="F76" s="102"/>
      <c r="G76" s="103"/>
      <c r="H76" s="82"/>
      <c r="J76" s="99">
        <f t="shared" ref="J76:J95" si="17">ROUND(F76*G76,2)</f>
        <v>0</v>
      </c>
      <c r="K76" s="69"/>
      <c r="L76" s="99">
        <f t="shared" ref="L76:L95" si="18">ROUND(IF(H76="Yes",J76*13.8%,0),2)</f>
        <v>0</v>
      </c>
      <c r="M76" s="69"/>
      <c r="N76" s="99">
        <f t="shared" ref="N76:N95" si="19">J76+L76</f>
        <v>0</v>
      </c>
      <c r="O76" s="163">
        <f t="shared" si="16"/>
        <v>0</v>
      </c>
    </row>
    <row r="77" spans="1:15" x14ac:dyDescent="0.2">
      <c r="A77" s="100" t="str">
        <f>IF(ISERROR(VLOOKUP(C77,Parameters!$F:$G,2,0)),"-",VLOOKUP(C77,Parameters!$F:$G,2,0))</f>
        <v>10D</v>
      </c>
      <c r="B77" s="192" t="str">
        <f>IF($A77="-","-",IF((COUNTIF($A$74:$A77,$A77)-1)&lt;10,$A77&amp;"-0"&amp;(COUNTIF($A$74:$A77,$A77)-1),$A77&amp;"-"&amp;(COUNTIF($A$74:$A77,$A77)-1)))</f>
        <v>10D-00</v>
      </c>
      <c r="C77" s="79" t="s">
        <v>331</v>
      </c>
      <c r="D77" s="79"/>
      <c r="E77" s="79"/>
      <c r="F77" s="102"/>
      <c r="G77" s="103"/>
      <c r="H77" s="82"/>
      <c r="J77" s="99">
        <f t="shared" si="17"/>
        <v>0</v>
      </c>
      <c r="K77" s="69"/>
      <c r="L77" s="99">
        <f t="shared" si="18"/>
        <v>0</v>
      </c>
      <c r="M77" s="69"/>
      <c r="N77" s="99">
        <f t="shared" si="19"/>
        <v>0</v>
      </c>
      <c r="O77" s="163">
        <f t="shared" si="16"/>
        <v>0</v>
      </c>
    </row>
    <row r="78" spans="1:15" x14ac:dyDescent="0.2">
      <c r="A78" s="100" t="str">
        <f>IF(ISERROR(VLOOKUP(C78,Parameters!$F:$G,2,0)),"-",VLOOKUP(C78,Parameters!$F:$G,2,0))</f>
        <v>10E</v>
      </c>
      <c r="B78" s="192" t="str">
        <f>IF($A78="-","-",IF((COUNTIF($A$74:$A78,$A78)-1)&lt;10,$A78&amp;"-0"&amp;(COUNTIF($A$74:$A78,$A78)-1),$A78&amp;"-"&amp;(COUNTIF($A$74:$A78,$A78)-1)))</f>
        <v>10E-00</v>
      </c>
      <c r="C78" s="79" t="s">
        <v>333</v>
      </c>
      <c r="D78" s="79"/>
      <c r="E78" s="79"/>
      <c r="F78" s="102"/>
      <c r="G78" s="103"/>
      <c r="H78" s="82"/>
      <c r="J78" s="99">
        <f t="shared" si="17"/>
        <v>0</v>
      </c>
      <c r="K78" s="69"/>
      <c r="L78" s="99">
        <f t="shared" si="18"/>
        <v>0</v>
      </c>
      <c r="M78" s="69"/>
      <c r="N78" s="99">
        <f t="shared" si="19"/>
        <v>0</v>
      </c>
      <c r="O78" s="163">
        <f t="shared" si="16"/>
        <v>0</v>
      </c>
    </row>
    <row r="79" spans="1:15" x14ac:dyDescent="0.2">
      <c r="A79" s="100" t="str">
        <f>IF(ISERROR(VLOOKUP(C79,Parameters!$F:$G,2,0)),"-",VLOOKUP(C79,Parameters!$F:$G,2,0))</f>
        <v>10F</v>
      </c>
      <c r="B79" s="192" t="str">
        <f>IF($A79="-","-",IF((COUNTIF($A$74:$A79,$A79)-1)&lt;10,$A79&amp;"-0"&amp;(COUNTIF($A$74:$A79,$A79)-1),$A79&amp;"-"&amp;(COUNTIF($A$74:$A79,$A79)-1)))</f>
        <v>10F-00</v>
      </c>
      <c r="C79" s="79" t="s">
        <v>335</v>
      </c>
      <c r="D79" s="79"/>
      <c r="E79" s="79"/>
      <c r="F79" s="102"/>
      <c r="G79" s="103"/>
      <c r="H79" s="82"/>
      <c r="J79" s="99">
        <f t="shared" si="17"/>
        <v>0</v>
      </c>
      <c r="K79" s="69"/>
      <c r="L79" s="99">
        <f t="shared" si="18"/>
        <v>0</v>
      </c>
      <c r="M79" s="69"/>
      <c r="N79" s="99">
        <f t="shared" si="19"/>
        <v>0</v>
      </c>
      <c r="O79" s="163">
        <f t="shared" si="16"/>
        <v>0</v>
      </c>
    </row>
    <row r="80" spans="1:15" x14ac:dyDescent="0.2">
      <c r="A80" s="100" t="str">
        <f>IF(ISERROR(VLOOKUP(C80,Parameters!$F:$G,2,0)),"-",VLOOKUP(C80,Parameters!$F:$G,2,0))</f>
        <v>10G</v>
      </c>
      <c r="B80" s="192" t="str">
        <f>IF($A80="-","-",IF((COUNTIF($A$74:$A80,$A80)-1)&lt;10,$A80&amp;"-0"&amp;(COUNTIF($A$74:$A80,$A80)-1),$A80&amp;"-"&amp;(COUNTIF($A$74:$A80,$A80)-1)))</f>
        <v>10G-00</v>
      </c>
      <c r="C80" s="79" t="s">
        <v>337</v>
      </c>
      <c r="D80" s="79"/>
      <c r="E80" s="79"/>
      <c r="F80" s="102"/>
      <c r="G80" s="103"/>
      <c r="H80" s="82"/>
      <c r="J80" s="99">
        <f t="shared" si="17"/>
        <v>0</v>
      </c>
      <c r="K80" s="69"/>
      <c r="L80" s="99">
        <f t="shared" si="18"/>
        <v>0</v>
      </c>
      <c r="M80" s="69"/>
      <c r="N80" s="99">
        <f t="shared" si="19"/>
        <v>0</v>
      </c>
      <c r="O80" s="163">
        <f t="shared" si="16"/>
        <v>0</v>
      </c>
    </row>
    <row r="81" spans="1:15" x14ac:dyDescent="0.2">
      <c r="A81" s="100" t="str">
        <f>IF(ISERROR(VLOOKUP(C81,Parameters!$F:$G,2,0)),"-",VLOOKUP(C81,Parameters!$F:$G,2,0))</f>
        <v>10H</v>
      </c>
      <c r="B81" s="192" t="str">
        <f>IF($A81="-","-",IF((COUNTIF($A$74:$A81,$A81)-1)&lt;10,$A81&amp;"-0"&amp;(COUNTIF($A$74:$A81,$A81)-1),$A81&amp;"-"&amp;(COUNTIF($A$74:$A81,$A81)-1)))</f>
        <v>10H-00</v>
      </c>
      <c r="C81" s="79" t="s">
        <v>339</v>
      </c>
      <c r="D81" s="79"/>
      <c r="E81" s="79"/>
      <c r="F81" s="102"/>
      <c r="G81" s="103"/>
      <c r="H81" s="82"/>
      <c r="J81" s="99">
        <f t="shared" si="17"/>
        <v>0</v>
      </c>
      <c r="K81" s="69"/>
      <c r="L81" s="99">
        <f t="shared" si="18"/>
        <v>0</v>
      </c>
      <c r="M81" s="69"/>
      <c r="N81" s="99">
        <f t="shared" si="19"/>
        <v>0</v>
      </c>
      <c r="O81" s="163">
        <f t="shared" si="16"/>
        <v>0</v>
      </c>
    </row>
    <row r="82" spans="1:15" x14ac:dyDescent="0.2">
      <c r="A82" s="100" t="str">
        <f>IF(ISERROR(VLOOKUP(C82,Parameters!$F:$G,2,0)),"-",VLOOKUP(C82,Parameters!$F:$G,2,0))</f>
        <v>10I</v>
      </c>
      <c r="B82" s="192" t="str">
        <f>IF($A82="-","-",IF((COUNTIF($A$74:$A82,$A82)-1)&lt;10,$A82&amp;"-0"&amp;(COUNTIF($A$74:$A82,$A82)-1),$A82&amp;"-"&amp;(COUNTIF($A$74:$A82,$A82)-1)))</f>
        <v>10I-00</v>
      </c>
      <c r="C82" s="79" t="s">
        <v>341</v>
      </c>
      <c r="D82" s="79"/>
      <c r="E82" s="79"/>
      <c r="F82" s="102"/>
      <c r="G82" s="103"/>
      <c r="H82" s="82"/>
      <c r="J82" s="99">
        <f t="shared" si="17"/>
        <v>0</v>
      </c>
      <c r="K82" s="69"/>
      <c r="L82" s="99">
        <f t="shared" si="18"/>
        <v>0</v>
      </c>
      <c r="M82" s="69"/>
      <c r="N82" s="99">
        <f t="shared" si="19"/>
        <v>0</v>
      </c>
      <c r="O82" s="163">
        <f t="shared" si="16"/>
        <v>0</v>
      </c>
    </row>
    <row r="83" spans="1:15" x14ac:dyDescent="0.2">
      <c r="A83" s="100" t="str">
        <f>IF(ISERROR(VLOOKUP(C83,Parameters!$F:$G,2,0)),"-",VLOOKUP(C83,Parameters!$F:$G,2,0))</f>
        <v>10J</v>
      </c>
      <c r="B83" s="192" t="str">
        <f>IF($A83="-","-",IF((COUNTIF($A$74:$A83,$A83)-1)&lt;10,$A83&amp;"-0"&amp;(COUNTIF($A$74:$A83,$A83)-1),$A83&amp;"-"&amp;(COUNTIF($A$74:$A83,$A83)-1)))</f>
        <v>10J-00</v>
      </c>
      <c r="C83" s="79" t="s">
        <v>343</v>
      </c>
      <c r="D83" s="79"/>
      <c r="E83" s="79"/>
      <c r="F83" s="102"/>
      <c r="G83" s="103"/>
      <c r="H83" s="82"/>
      <c r="J83" s="99">
        <f t="shared" si="17"/>
        <v>0</v>
      </c>
      <c r="K83" s="69"/>
      <c r="L83" s="99">
        <f t="shared" si="18"/>
        <v>0</v>
      </c>
      <c r="M83" s="69"/>
      <c r="N83" s="99">
        <f t="shared" si="19"/>
        <v>0</v>
      </c>
      <c r="O83" s="163">
        <f t="shared" si="16"/>
        <v>0</v>
      </c>
    </row>
    <row r="84" spans="1:15" x14ac:dyDescent="0.2">
      <c r="A84" s="100" t="str">
        <f>IF(ISERROR(VLOOKUP(C84,Parameters!$F:$G,2,0)),"-",VLOOKUP(C84,Parameters!$F:$G,2,0))</f>
        <v>10K</v>
      </c>
      <c r="B84" s="192" t="str">
        <f>IF($A84="-","-",IF((COUNTIF($A$74:$A84,$A84)-1)&lt;10,$A84&amp;"-0"&amp;(COUNTIF($A$74:$A84,$A84)-1),$A84&amp;"-"&amp;(COUNTIF($A$74:$A84,$A84)-1)))</f>
        <v>10K-00</v>
      </c>
      <c r="C84" s="79" t="s">
        <v>345</v>
      </c>
      <c r="D84" s="79"/>
      <c r="E84" s="79"/>
      <c r="F84" s="102"/>
      <c r="G84" s="103"/>
      <c r="H84" s="82"/>
      <c r="J84" s="99">
        <f t="shared" si="17"/>
        <v>0</v>
      </c>
      <c r="K84" s="69"/>
      <c r="L84" s="99">
        <f t="shared" si="18"/>
        <v>0</v>
      </c>
      <c r="M84" s="69"/>
      <c r="N84" s="99">
        <f t="shared" si="19"/>
        <v>0</v>
      </c>
      <c r="O84" s="163">
        <f t="shared" si="16"/>
        <v>0</v>
      </c>
    </row>
    <row r="85" spans="1:15" x14ac:dyDescent="0.2">
      <c r="A85" s="100" t="str">
        <f>IF(ISERROR(VLOOKUP(C85,Parameters!$F:$G,2,0)),"-",VLOOKUP(C85,Parameters!$F:$G,2,0))</f>
        <v>10L</v>
      </c>
      <c r="B85" s="192" t="str">
        <f>IF($A85="-","-",IF((COUNTIF($A$74:$A85,$A85)-1)&lt;10,$A85&amp;"-0"&amp;(COUNTIF($A$74:$A85,$A85)-1),$A85&amp;"-"&amp;(COUNTIF($A$74:$A85,$A85)-1)))</f>
        <v>10L-00</v>
      </c>
      <c r="C85" s="79" t="s">
        <v>347</v>
      </c>
      <c r="D85" s="79"/>
      <c r="E85" s="79"/>
      <c r="F85" s="102"/>
      <c r="G85" s="103"/>
      <c r="H85" s="82"/>
      <c r="J85" s="99">
        <f t="shared" si="17"/>
        <v>0</v>
      </c>
      <c r="K85" s="69"/>
      <c r="L85" s="99">
        <f t="shared" si="18"/>
        <v>0</v>
      </c>
      <c r="M85" s="69"/>
      <c r="N85" s="99">
        <f t="shared" si="19"/>
        <v>0</v>
      </c>
      <c r="O85" s="163">
        <f t="shared" si="16"/>
        <v>0</v>
      </c>
    </row>
    <row r="86" spans="1:15" x14ac:dyDescent="0.2">
      <c r="A86" s="100" t="str">
        <f>IF(ISERROR(VLOOKUP(C86,Parameters!$F:$G,2,0)),"-",VLOOKUP(C86,Parameters!$F:$G,2,0))</f>
        <v>10M</v>
      </c>
      <c r="B86" s="192" t="str">
        <f>IF($A86="-","-",IF((COUNTIF($A$74:$A86,$A86)-1)&lt;10,$A86&amp;"-0"&amp;(COUNTIF($A$74:$A86,$A86)-1),$A86&amp;"-"&amp;(COUNTIF($A$74:$A86,$A86)-1)))</f>
        <v>10M-00</v>
      </c>
      <c r="C86" s="79" t="s">
        <v>349</v>
      </c>
      <c r="D86" s="79"/>
      <c r="E86" s="79"/>
      <c r="F86" s="102"/>
      <c r="G86" s="103"/>
      <c r="H86" s="82"/>
      <c r="J86" s="99">
        <f t="shared" si="17"/>
        <v>0</v>
      </c>
      <c r="K86" s="69"/>
      <c r="L86" s="99">
        <f t="shared" si="18"/>
        <v>0</v>
      </c>
      <c r="M86" s="69"/>
      <c r="N86" s="99">
        <f t="shared" si="19"/>
        <v>0</v>
      </c>
      <c r="O86" s="163">
        <f t="shared" si="16"/>
        <v>0</v>
      </c>
    </row>
    <row r="87" spans="1:15" x14ac:dyDescent="0.2">
      <c r="A87" s="100" t="str">
        <f>IF(ISERROR(VLOOKUP(C87,Parameters!$F:$G,2,0)),"-",VLOOKUP(C87,Parameters!$F:$G,2,0))</f>
        <v>10N</v>
      </c>
      <c r="B87" s="192" t="str">
        <f>IF($A87="-","-",IF((COUNTIF($A$74:$A87,$A87)-1)&lt;10,$A87&amp;"-0"&amp;(COUNTIF($A$74:$A87,$A87)-1),$A87&amp;"-"&amp;(COUNTIF($A$74:$A87,$A87)-1)))</f>
        <v>10N-00</v>
      </c>
      <c r="C87" s="79" t="s">
        <v>351</v>
      </c>
      <c r="D87" s="79"/>
      <c r="E87" s="79"/>
      <c r="F87" s="102"/>
      <c r="G87" s="103"/>
      <c r="H87" s="82"/>
      <c r="J87" s="99">
        <f t="shared" si="17"/>
        <v>0</v>
      </c>
      <c r="K87" s="69"/>
      <c r="L87" s="99">
        <f t="shared" si="18"/>
        <v>0</v>
      </c>
      <c r="M87" s="69"/>
      <c r="N87" s="99">
        <f t="shared" si="19"/>
        <v>0</v>
      </c>
      <c r="O87" s="163">
        <f t="shared" si="16"/>
        <v>0</v>
      </c>
    </row>
    <row r="88" spans="1:15" x14ac:dyDescent="0.2">
      <c r="A88" s="100" t="str">
        <f>IF(ISERROR(VLOOKUP(C88,Parameters!$F:$G,2,0)),"-",VLOOKUP(C88,Parameters!$F:$G,2,0))</f>
        <v>10O</v>
      </c>
      <c r="B88" s="192" t="str">
        <f>IF($A88="-","-",IF((COUNTIF($A$74:$A88,$A88)-1)&lt;10,$A88&amp;"-0"&amp;(COUNTIF($A$74:$A88,$A88)-1),$A88&amp;"-"&amp;(COUNTIF($A$74:$A88,$A88)-1)))</f>
        <v>10O-00</v>
      </c>
      <c r="C88" s="79" t="s">
        <v>353</v>
      </c>
      <c r="D88" s="79"/>
      <c r="E88" s="79"/>
      <c r="F88" s="102"/>
      <c r="G88" s="103"/>
      <c r="H88" s="82"/>
      <c r="J88" s="99">
        <f t="shared" si="17"/>
        <v>0</v>
      </c>
      <c r="K88" s="69"/>
      <c r="L88" s="99">
        <f t="shared" si="18"/>
        <v>0</v>
      </c>
      <c r="M88" s="69"/>
      <c r="N88" s="99">
        <f t="shared" si="19"/>
        <v>0</v>
      </c>
      <c r="O88" s="163">
        <f t="shared" si="16"/>
        <v>0</v>
      </c>
    </row>
    <row r="89" spans="1:15" x14ac:dyDescent="0.2">
      <c r="A89" s="100" t="str">
        <f>IF(ISERROR(VLOOKUP(C89,Parameters!$F:$G,2,0)),"-",VLOOKUP(C89,Parameters!$F:$G,2,0))</f>
        <v>10P</v>
      </c>
      <c r="B89" s="192" t="str">
        <f>IF($A89="-","-",IF((COUNTIF($A$74:$A89,$A89)-1)&lt;10,$A89&amp;"-0"&amp;(COUNTIF($A$74:$A89,$A89)-1),$A89&amp;"-"&amp;(COUNTIF($A$74:$A89,$A89)-1)))</f>
        <v>10P-00</v>
      </c>
      <c r="C89" s="79" t="s">
        <v>355</v>
      </c>
      <c r="D89" s="79"/>
      <c r="E89" s="79"/>
      <c r="F89" s="102"/>
      <c r="G89" s="103"/>
      <c r="H89" s="82"/>
      <c r="J89" s="99">
        <f t="shared" si="17"/>
        <v>0</v>
      </c>
      <c r="K89" s="69"/>
      <c r="L89" s="99">
        <f t="shared" si="18"/>
        <v>0</v>
      </c>
      <c r="M89" s="69"/>
      <c r="N89" s="99">
        <f t="shared" si="19"/>
        <v>0</v>
      </c>
      <c r="O89" s="163">
        <f t="shared" si="16"/>
        <v>0</v>
      </c>
    </row>
    <row r="90" spans="1:15" x14ac:dyDescent="0.2">
      <c r="A90" s="100" t="str">
        <f>IF(ISERROR(VLOOKUP(C90,Parameters!$F:$G,2,0)),"-",VLOOKUP(C90,Parameters!$F:$G,2,0))</f>
        <v>10Q</v>
      </c>
      <c r="B90" s="192" t="str">
        <f>IF($A90="-","-",IF((COUNTIF($A$74:$A90,$A90)-1)&lt;10,$A90&amp;"-0"&amp;(COUNTIF($A$74:$A90,$A90)-1),$A90&amp;"-"&amp;(COUNTIF($A$74:$A90,$A90)-1)))</f>
        <v>10Q-00</v>
      </c>
      <c r="C90" s="79" t="s">
        <v>357</v>
      </c>
      <c r="D90" s="79"/>
      <c r="E90" s="79"/>
      <c r="F90" s="102"/>
      <c r="G90" s="103"/>
      <c r="H90" s="82"/>
      <c r="J90" s="99">
        <f t="shared" si="17"/>
        <v>0</v>
      </c>
      <c r="K90" s="69"/>
      <c r="L90" s="99">
        <f t="shared" si="18"/>
        <v>0</v>
      </c>
      <c r="M90" s="69"/>
      <c r="N90" s="99">
        <f t="shared" si="19"/>
        <v>0</v>
      </c>
      <c r="O90" s="163">
        <f t="shared" si="16"/>
        <v>0</v>
      </c>
    </row>
    <row r="91" spans="1:15" x14ac:dyDescent="0.2">
      <c r="A91" s="100" t="str">
        <f>IF(ISERROR(VLOOKUP(C91,Parameters!$F:$G,2,0)),"-",VLOOKUP(C91,Parameters!$F:$G,2,0))</f>
        <v>10R</v>
      </c>
      <c r="B91" s="192" t="str">
        <f>IF($A91="-","-",IF((COUNTIF($A$74:$A91,$A91)-1)&lt;10,$A91&amp;"-0"&amp;(COUNTIF($A$74:$A91,$A91)-1),$A91&amp;"-"&amp;(COUNTIF($A$74:$A91,$A91)-1)))</f>
        <v>10R-00</v>
      </c>
      <c r="C91" s="79" t="s">
        <v>359</v>
      </c>
      <c r="D91" s="79"/>
      <c r="E91" s="79"/>
      <c r="F91" s="102"/>
      <c r="G91" s="103"/>
      <c r="H91" s="82"/>
      <c r="J91" s="99">
        <f t="shared" si="17"/>
        <v>0</v>
      </c>
      <c r="K91" s="69"/>
      <c r="L91" s="99">
        <f t="shared" si="18"/>
        <v>0</v>
      </c>
      <c r="M91" s="69"/>
      <c r="N91" s="99">
        <f t="shared" si="19"/>
        <v>0</v>
      </c>
      <c r="O91" s="163">
        <f t="shared" si="16"/>
        <v>0</v>
      </c>
    </row>
    <row r="92" spans="1:15" x14ac:dyDescent="0.2">
      <c r="A92" s="100" t="str">
        <f>IF(ISERROR(VLOOKUP(C92,Parameters!$F:$G,2,0)),"-",VLOOKUP(C92,Parameters!$F:$G,2,0))</f>
        <v>10S</v>
      </c>
      <c r="B92" s="192" t="str">
        <f>IF($A92="-","-",IF((COUNTIF($A$74:$A92,$A92)-1)&lt;10,$A92&amp;"-0"&amp;(COUNTIF($A$74:$A92,$A92)-1),$A92&amp;"-"&amp;(COUNTIF($A$74:$A92,$A92)-1)))</f>
        <v>10S-00</v>
      </c>
      <c r="C92" s="79" t="s">
        <v>361</v>
      </c>
      <c r="D92" s="79"/>
      <c r="E92" s="79"/>
      <c r="F92" s="102"/>
      <c r="G92" s="103"/>
      <c r="H92" s="82"/>
      <c r="J92" s="99">
        <f t="shared" si="17"/>
        <v>0</v>
      </c>
      <c r="K92" s="69"/>
      <c r="L92" s="99">
        <f t="shared" si="18"/>
        <v>0</v>
      </c>
      <c r="M92" s="69"/>
      <c r="N92" s="99">
        <f t="shared" si="19"/>
        <v>0</v>
      </c>
      <c r="O92" s="163">
        <f t="shared" si="16"/>
        <v>0</v>
      </c>
    </row>
    <row r="93" spans="1:15" x14ac:dyDescent="0.2">
      <c r="A93" s="100" t="str">
        <f>IF(ISERROR(VLOOKUP(C93,Parameters!$F:$G,2,0)),"-",VLOOKUP(C93,Parameters!$F:$G,2,0))</f>
        <v>10T</v>
      </c>
      <c r="B93" s="192" t="str">
        <f>IF($A93="-","-",IF((COUNTIF($A$74:$A93,$A93)-1)&lt;10,$A93&amp;"-0"&amp;(COUNTIF($A$74:$A93,$A93)-1),$A93&amp;"-"&amp;(COUNTIF($A$74:$A93,$A93)-1)))</f>
        <v>10T-00</v>
      </c>
      <c r="C93" s="79" t="s">
        <v>363</v>
      </c>
      <c r="D93" s="79"/>
      <c r="E93" s="79"/>
      <c r="F93" s="102"/>
      <c r="G93" s="103"/>
      <c r="H93" s="82"/>
      <c r="J93" s="99">
        <f t="shared" si="17"/>
        <v>0</v>
      </c>
      <c r="K93" s="69"/>
      <c r="L93" s="99">
        <f t="shared" si="18"/>
        <v>0</v>
      </c>
      <c r="M93" s="69"/>
      <c r="N93" s="99">
        <f t="shared" si="19"/>
        <v>0</v>
      </c>
      <c r="O93" s="163">
        <f t="shared" si="16"/>
        <v>0</v>
      </c>
    </row>
    <row r="94" spans="1:15" x14ac:dyDescent="0.2">
      <c r="A94" s="100" t="str">
        <f>IF(ISERROR(VLOOKUP(C94,Parameters!$F:$G,2,0)),"-",VLOOKUP(C94,Parameters!$F:$G,2,0))</f>
        <v>10U</v>
      </c>
      <c r="B94" s="192" t="str">
        <f>IF($A94="-","-",IF((COUNTIF($A$74:$A94,$A94)-1)&lt;10,$A94&amp;"-0"&amp;(COUNTIF($A$74:$A94,$A94)-1),$A94&amp;"-"&amp;(COUNTIF($A$74:$A94,$A94)-1)))</f>
        <v>10U-00</v>
      </c>
      <c r="C94" s="79" t="s">
        <v>365</v>
      </c>
      <c r="D94" s="79"/>
      <c r="E94" s="79"/>
      <c r="F94" s="102"/>
      <c r="G94" s="103"/>
      <c r="H94" s="82"/>
      <c r="J94" s="99">
        <f t="shared" si="17"/>
        <v>0</v>
      </c>
      <c r="K94" s="69"/>
      <c r="L94" s="99">
        <f t="shared" si="18"/>
        <v>0</v>
      </c>
      <c r="M94" s="69"/>
      <c r="N94" s="99">
        <f t="shared" si="19"/>
        <v>0</v>
      </c>
      <c r="O94" s="163">
        <f t="shared" si="16"/>
        <v>0</v>
      </c>
    </row>
    <row r="95" spans="1:15" x14ac:dyDescent="0.2">
      <c r="A95" s="100" t="str">
        <f>IF(ISERROR(VLOOKUP(C95,Parameters!$F:$G,2,0)),"-",VLOOKUP(C95,Parameters!$F:$G,2,0))</f>
        <v>10V</v>
      </c>
      <c r="B95" s="192" t="str">
        <f>IF($A95="-","-",IF((COUNTIF($A$74:$A95,$A95)-1)&lt;10,$A95&amp;"-0"&amp;(COUNTIF($A$74:$A95,$A95)-1),$A95&amp;"-"&amp;(COUNTIF($A$74:$A95,$A95)-1)))</f>
        <v>10V-00</v>
      </c>
      <c r="C95" s="79" t="s">
        <v>367</v>
      </c>
      <c r="D95" s="79"/>
      <c r="E95" s="79"/>
      <c r="F95" s="102"/>
      <c r="G95" s="103"/>
      <c r="H95" s="82"/>
      <c r="J95" s="99">
        <f t="shared" si="17"/>
        <v>0</v>
      </c>
      <c r="K95" s="69"/>
      <c r="L95" s="99">
        <f t="shared" si="18"/>
        <v>0</v>
      </c>
      <c r="M95" s="69"/>
      <c r="N95" s="99">
        <f t="shared" si="19"/>
        <v>0</v>
      </c>
      <c r="O95" s="163">
        <f t="shared" si="16"/>
        <v>0</v>
      </c>
    </row>
    <row r="96" spans="1:15" ht="13.5" thickBot="1" x14ac:dyDescent="0.25">
      <c r="A96" s="100" t="str">
        <f>IF(ISERROR(VLOOKUP(C96,Parameters!$F:$G,2,0)),"-",VLOOKUP(C96,Parameters!$F:$G,2,0))</f>
        <v>10W</v>
      </c>
      <c r="B96" s="192" t="str">
        <f>IF($A96="-","-",IF((COUNTIF($A$74:$A96,$A96)-1)&lt;10,$A96&amp;"-0"&amp;(COUNTIF($A$74:$A96,$A96)-1),$A96&amp;"-"&amp;(COUNTIF($A$74:$A96,$A96)-1)))</f>
        <v>10W-00</v>
      </c>
      <c r="C96" s="79" t="s">
        <v>369</v>
      </c>
      <c r="D96" s="79"/>
      <c r="E96" s="79"/>
      <c r="F96" s="102"/>
      <c r="G96" s="103"/>
      <c r="H96" s="82"/>
      <c r="J96" s="101">
        <f>ROUND(F96*G96,2)</f>
        <v>0</v>
      </c>
      <c r="K96" s="69"/>
      <c r="L96" s="101">
        <f>ROUND(IF(H96="Yes",J96*13.8%,0),2)</f>
        <v>0</v>
      </c>
      <c r="M96" s="69"/>
      <c r="N96" s="101">
        <f>J96+L96</f>
        <v>0</v>
      </c>
      <c r="O96" s="163">
        <f t="shared" si="16"/>
        <v>0</v>
      </c>
    </row>
    <row r="97" spans="1:15" x14ac:dyDescent="0.2">
      <c r="A97" s="368" t="str">
        <f>A73&amp;" TOTAL"</f>
        <v>10 - TOTAL</v>
      </c>
      <c r="B97" s="369"/>
      <c r="C97" s="369"/>
      <c r="D97" s="369"/>
      <c r="E97" s="369"/>
      <c r="F97" s="369"/>
      <c r="G97" s="369"/>
      <c r="H97" s="370"/>
      <c r="J97" s="374">
        <f>SUM(J73:J96)</f>
        <v>0</v>
      </c>
      <c r="L97" s="374">
        <f>SUM(L73:L96)</f>
        <v>0</v>
      </c>
      <c r="N97" s="374">
        <f>SUM(N73:N96)</f>
        <v>0</v>
      </c>
      <c r="O97" s="135">
        <f>IF(N97=0,0,1)</f>
        <v>0</v>
      </c>
    </row>
    <row r="98" spans="1:15" ht="13.5" thickBot="1" x14ac:dyDescent="0.25">
      <c r="A98" s="371"/>
      <c r="B98" s="372"/>
      <c r="C98" s="372"/>
      <c r="D98" s="372"/>
      <c r="E98" s="372"/>
      <c r="F98" s="372"/>
      <c r="G98" s="372"/>
      <c r="H98" s="373"/>
      <c r="J98" s="375"/>
      <c r="L98" s="375"/>
      <c r="N98" s="375"/>
      <c r="O98" s="135">
        <f>O97</f>
        <v>0</v>
      </c>
    </row>
    <row r="99" spans="1:15" x14ac:dyDescent="0.2">
      <c r="J99" s="195">
        <f>J97</f>
        <v>0</v>
      </c>
      <c r="O99" s="163">
        <f>IF(N97=0,0,1)</f>
        <v>0</v>
      </c>
    </row>
    <row r="100" spans="1:15" x14ac:dyDescent="0.2">
      <c r="J100" s="195">
        <f>J99</f>
        <v>0</v>
      </c>
      <c r="O100" s="163">
        <f>O99</f>
        <v>0</v>
      </c>
    </row>
    <row r="101" spans="1:15" ht="13.5" thickBot="1" x14ac:dyDescent="0.25">
      <c r="J101" s="195">
        <f>J100</f>
        <v>0</v>
      </c>
      <c r="O101" s="163">
        <f>O100</f>
        <v>0</v>
      </c>
    </row>
    <row r="102" spans="1:15" ht="39" thickBot="1" x14ac:dyDescent="0.25">
      <c r="A102" s="53" t="s">
        <v>94</v>
      </c>
      <c r="B102" s="54" t="s">
        <v>934</v>
      </c>
      <c r="C102" s="54" t="s">
        <v>922</v>
      </c>
      <c r="D102" s="54" t="s">
        <v>923</v>
      </c>
      <c r="E102" s="54" t="s">
        <v>924</v>
      </c>
      <c r="F102" s="54" t="s">
        <v>954</v>
      </c>
      <c r="G102" s="54" t="s">
        <v>929</v>
      </c>
      <c r="H102" s="56" t="s">
        <v>955</v>
      </c>
      <c r="I102" s="63"/>
      <c r="J102" s="97" t="str">
        <f>"Basic - "&amp;Currency</f>
        <v>Basic - £</v>
      </c>
      <c r="K102" s="63"/>
      <c r="L102" s="64" t="str">
        <f>"NI - "&amp;Currency</f>
        <v>NI - £</v>
      </c>
      <c r="M102" s="63"/>
      <c r="N102" s="64" t="str">
        <f>"Total - "&amp;Currency</f>
        <v>Total - £</v>
      </c>
      <c r="O102" s="163">
        <f>IF(N116=0,0,1)</f>
        <v>0</v>
      </c>
    </row>
    <row r="103" spans="1:15" x14ac:dyDescent="0.2">
      <c r="A103" s="188" t="s">
        <v>962</v>
      </c>
      <c r="B103" s="189" t="s">
        <v>970</v>
      </c>
      <c r="C103" s="190"/>
      <c r="D103" s="190"/>
      <c r="E103" s="190"/>
      <c r="F103" s="190"/>
      <c r="G103" s="190"/>
      <c r="H103" s="191"/>
      <c r="J103" s="196" t="s">
        <v>996</v>
      </c>
      <c r="L103" s="98"/>
      <c r="N103" s="98"/>
      <c r="O103" s="163">
        <f>O102</f>
        <v>0</v>
      </c>
    </row>
    <row r="104" spans="1:15" x14ac:dyDescent="0.2">
      <c r="A104" s="184" t="str">
        <f>IF(ISERROR(VLOOKUP(C104,Parameters!$F:$G,2,0)),"-",VLOOKUP(C104,Parameters!$F:$G,2,0))</f>
        <v>11A</v>
      </c>
      <c r="B104" s="192" t="str">
        <f>IF($A104="-","-",IF((COUNTIF($A$104:$A104,$A104)-1)&lt;10,$A104&amp;"-0"&amp;(COUNTIF($A$104:$A104,$A104)-1),$A104&amp;"-"&amp;(COUNTIF($A$104:$A104,$A104)-1)))</f>
        <v>11A-00</v>
      </c>
      <c r="C104" s="79" t="s">
        <v>371</v>
      </c>
      <c r="D104" s="79"/>
      <c r="E104" s="79"/>
      <c r="F104" s="102"/>
      <c r="G104" s="103"/>
      <c r="H104" s="82"/>
      <c r="J104" s="99">
        <f>ROUND(F104*G104,2)</f>
        <v>0</v>
      </c>
      <c r="K104" s="69"/>
      <c r="L104" s="99">
        <f>ROUND(IF(H104="Yes",J104*13.8%,0),2)</f>
        <v>0</v>
      </c>
      <c r="M104" s="69"/>
      <c r="N104" s="99">
        <f>J104+L104</f>
        <v>0</v>
      </c>
      <c r="O104" s="163">
        <f>IF(N104=0,0,1)</f>
        <v>0</v>
      </c>
    </row>
    <row r="105" spans="1:15" x14ac:dyDescent="0.2">
      <c r="A105" s="100" t="str">
        <f>IF(ISERROR(VLOOKUP(C105,Parameters!$F:$G,2,0)),"-",VLOOKUP(C105,Parameters!$F:$G,2,0))</f>
        <v>11B</v>
      </c>
      <c r="B105" s="192" t="str">
        <f>IF($A105="-","-",IF((COUNTIF($A$104:$A105,$A105)-1)&lt;10,$A105&amp;"-0"&amp;(COUNTIF($A$104:$A105,$A105)-1),$A105&amp;"-"&amp;(COUNTIF($A$104:$A105,$A105)-1)))</f>
        <v>11B-00</v>
      </c>
      <c r="C105" s="79" t="s">
        <v>373</v>
      </c>
      <c r="D105" s="79"/>
      <c r="E105" s="79"/>
      <c r="F105" s="102"/>
      <c r="G105" s="103"/>
      <c r="H105" s="82"/>
      <c r="J105" s="99">
        <f>ROUND(F105*G105,2)</f>
        <v>0</v>
      </c>
      <c r="K105" s="69"/>
      <c r="L105" s="99">
        <f>ROUND(IF(H105="Yes",J105*13.8%,0),2)</f>
        <v>0</v>
      </c>
      <c r="M105" s="69"/>
      <c r="N105" s="99">
        <f>J105+L105</f>
        <v>0</v>
      </c>
      <c r="O105" s="163">
        <f t="shared" ref="O105:O115" si="20">IF(N105=0,0,1)</f>
        <v>0</v>
      </c>
    </row>
    <row r="106" spans="1:15" x14ac:dyDescent="0.2">
      <c r="A106" s="100" t="str">
        <f>IF(ISERROR(VLOOKUP(C106,Parameters!$F:$G,2,0)),"-",VLOOKUP(C106,Parameters!$F:$G,2,0))</f>
        <v>11C</v>
      </c>
      <c r="B106" s="192" t="str">
        <f>IF($A106="-","-",IF((COUNTIF($A$104:$A106,$A106)-1)&lt;10,$A106&amp;"-0"&amp;(COUNTIF($A$104:$A106,$A106)-1),$A106&amp;"-"&amp;(COUNTIF($A$104:$A106,$A106)-1)))</f>
        <v>11C-00</v>
      </c>
      <c r="C106" s="79" t="s">
        <v>375</v>
      </c>
      <c r="D106" s="79"/>
      <c r="E106" s="79"/>
      <c r="F106" s="102"/>
      <c r="G106" s="103"/>
      <c r="H106" s="82"/>
      <c r="J106" s="99">
        <f t="shared" ref="J106:J114" si="21">ROUND(F106*G106,2)</f>
        <v>0</v>
      </c>
      <c r="K106" s="69"/>
      <c r="L106" s="99">
        <f t="shared" ref="L106:L114" si="22">ROUND(IF(H106="Yes",J106*13.8%,0),2)</f>
        <v>0</v>
      </c>
      <c r="M106" s="69"/>
      <c r="N106" s="99">
        <f t="shared" ref="N106:N114" si="23">J106+L106</f>
        <v>0</v>
      </c>
      <c r="O106" s="163">
        <f t="shared" si="20"/>
        <v>0</v>
      </c>
    </row>
    <row r="107" spans="1:15" x14ac:dyDescent="0.2">
      <c r="A107" s="100" t="str">
        <f>IF(ISERROR(VLOOKUP(C107,Parameters!$F:$G,2,0)),"-",VLOOKUP(C107,Parameters!$F:$G,2,0))</f>
        <v>11D</v>
      </c>
      <c r="B107" s="192" t="str">
        <f>IF($A107="-","-",IF((COUNTIF($A$104:$A107,$A107)-1)&lt;10,$A107&amp;"-0"&amp;(COUNTIF($A$104:$A107,$A107)-1),$A107&amp;"-"&amp;(COUNTIF($A$104:$A107,$A107)-1)))</f>
        <v>11D-00</v>
      </c>
      <c r="C107" s="79" t="s">
        <v>377</v>
      </c>
      <c r="D107" s="79"/>
      <c r="E107" s="79"/>
      <c r="F107" s="102"/>
      <c r="G107" s="103"/>
      <c r="H107" s="82"/>
      <c r="J107" s="99">
        <f t="shared" si="21"/>
        <v>0</v>
      </c>
      <c r="K107" s="69"/>
      <c r="L107" s="99">
        <f t="shared" si="22"/>
        <v>0</v>
      </c>
      <c r="M107" s="69"/>
      <c r="N107" s="99">
        <f t="shared" si="23"/>
        <v>0</v>
      </c>
      <c r="O107" s="163">
        <f t="shared" si="20"/>
        <v>0</v>
      </c>
    </row>
    <row r="108" spans="1:15" x14ac:dyDescent="0.2">
      <c r="A108" s="100" t="str">
        <f>IF(ISERROR(VLOOKUP(C108,Parameters!$F:$G,2,0)),"-",VLOOKUP(C108,Parameters!$F:$G,2,0))</f>
        <v>11E</v>
      </c>
      <c r="B108" s="192" t="str">
        <f>IF($A108="-","-",IF((COUNTIF($A$104:$A108,$A108)-1)&lt;10,$A108&amp;"-0"&amp;(COUNTIF($A$104:$A108,$A108)-1),$A108&amp;"-"&amp;(COUNTIF($A$104:$A108,$A108)-1)))</f>
        <v>11E-00</v>
      </c>
      <c r="C108" s="79" t="s">
        <v>379</v>
      </c>
      <c r="D108" s="79"/>
      <c r="E108" s="79"/>
      <c r="F108" s="102"/>
      <c r="G108" s="103"/>
      <c r="H108" s="82"/>
      <c r="J108" s="99">
        <f t="shared" si="21"/>
        <v>0</v>
      </c>
      <c r="K108" s="69"/>
      <c r="L108" s="99">
        <f t="shared" si="22"/>
        <v>0</v>
      </c>
      <c r="M108" s="69"/>
      <c r="N108" s="99">
        <f t="shared" si="23"/>
        <v>0</v>
      </c>
      <c r="O108" s="163">
        <f t="shared" si="20"/>
        <v>0</v>
      </c>
    </row>
    <row r="109" spans="1:15" x14ac:dyDescent="0.2">
      <c r="A109" s="100" t="str">
        <f>IF(ISERROR(VLOOKUP(C109,Parameters!$F:$G,2,0)),"-",VLOOKUP(C109,Parameters!$F:$G,2,0))</f>
        <v>11F</v>
      </c>
      <c r="B109" s="192" t="str">
        <f>IF($A109="-","-",IF((COUNTIF($A$104:$A109,$A109)-1)&lt;10,$A109&amp;"-0"&amp;(COUNTIF($A$104:$A109,$A109)-1),$A109&amp;"-"&amp;(COUNTIF($A$104:$A109,$A109)-1)))</f>
        <v>11F-00</v>
      </c>
      <c r="C109" s="79" t="s">
        <v>381</v>
      </c>
      <c r="D109" s="79"/>
      <c r="E109" s="79"/>
      <c r="F109" s="102"/>
      <c r="G109" s="103"/>
      <c r="H109" s="82"/>
      <c r="J109" s="99">
        <f t="shared" si="21"/>
        <v>0</v>
      </c>
      <c r="K109" s="69"/>
      <c r="L109" s="99">
        <f t="shared" si="22"/>
        <v>0</v>
      </c>
      <c r="M109" s="69"/>
      <c r="N109" s="99">
        <f t="shared" si="23"/>
        <v>0</v>
      </c>
      <c r="O109" s="163">
        <f t="shared" si="20"/>
        <v>0</v>
      </c>
    </row>
    <row r="110" spans="1:15" x14ac:dyDescent="0.2">
      <c r="A110" s="100" t="str">
        <f>IF(ISERROR(VLOOKUP(C110,Parameters!$F:$G,2,0)),"-",VLOOKUP(C110,Parameters!$F:$G,2,0))</f>
        <v>11G</v>
      </c>
      <c r="B110" s="192" t="str">
        <f>IF($A110="-","-",IF((COUNTIF($A$104:$A110,$A110)-1)&lt;10,$A110&amp;"-0"&amp;(COUNTIF($A$104:$A110,$A110)-1),$A110&amp;"-"&amp;(COUNTIF($A$104:$A110,$A110)-1)))</f>
        <v>11G-00</v>
      </c>
      <c r="C110" s="79" t="s">
        <v>383</v>
      </c>
      <c r="D110" s="79"/>
      <c r="E110" s="79"/>
      <c r="F110" s="102"/>
      <c r="G110" s="103"/>
      <c r="H110" s="82"/>
      <c r="J110" s="99">
        <f t="shared" si="21"/>
        <v>0</v>
      </c>
      <c r="K110" s="69"/>
      <c r="L110" s="99">
        <f t="shared" si="22"/>
        <v>0</v>
      </c>
      <c r="M110" s="69"/>
      <c r="N110" s="99">
        <f t="shared" si="23"/>
        <v>0</v>
      </c>
      <c r="O110" s="163">
        <f t="shared" si="20"/>
        <v>0</v>
      </c>
    </row>
    <row r="111" spans="1:15" x14ac:dyDescent="0.2">
      <c r="A111" s="100" t="str">
        <f>IF(ISERROR(VLOOKUP(C111,Parameters!$F:$G,2,0)),"-",VLOOKUP(C111,Parameters!$F:$G,2,0))</f>
        <v>11H</v>
      </c>
      <c r="B111" s="192" t="str">
        <f>IF($A111="-","-",IF((COUNTIF($A$104:$A111,$A111)-1)&lt;10,$A111&amp;"-0"&amp;(COUNTIF($A$104:$A111,$A111)-1),$A111&amp;"-"&amp;(COUNTIF($A$104:$A111,$A111)-1)))</f>
        <v>11H-00</v>
      </c>
      <c r="C111" s="79" t="s">
        <v>385</v>
      </c>
      <c r="D111" s="79"/>
      <c r="E111" s="79"/>
      <c r="F111" s="102"/>
      <c r="G111" s="103"/>
      <c r="H111" s="82"/>
      <c r="J111" s="99">
        <f t="shared" si="21"/>
        <v>0</v>
      </c>
      <c r="K111" s="69"/>
      <c r="L111" s="99">
        <f t="shared" si="22"/>
        <v>0</v>
      </c>
      <c r="M111" s="69"/>
      <c r="N111" s="99">
        <f t="shared" si="23"/>
        <v>0</v>
      </c>
      <c r="O111" s="163">
        <f t="shared" si="20"/>
        <v>0</v>
      </c>
    </row>
    <row r="112" spans="1:15" x14ac:dyDescent="0.2">
      <c r="A112" s="100" t="str">
        <f>IF(ISERROR(VLOOKUP(C112,Parameters!$F:$G,2,0)),"-",VLOOKUP(C112,Parameters!$F:$G,2,0))</f>
        <v>11I</v>
      </c>
      <c r="B112" s="192" t="str">
        <f>IF($A112="-","-",IF((COUNTIF($A$104:$A112,$A112)-1)&lt;10,$A112&amp;"-0"&amp;(COUNTIF($A$104:$A112,$A112)-1),$A112&amp;"-"&amp;(COUNTIF($A$104:$A112,$A112)-1)))</f>
        <v>11I-00</v>
      </c>
      <c r="C112" s="79" t="s">
        <v>387</v>
      </c>
      <c r="D112" s="79"/>
      <c r="E112" s="79"/>
      <c r="F112" s="102"/>
      <c r="G112" s="103"/>
      <c r="H112" s="82"/>
      <c r="J112" s="99">
        <f t="shared" si="21"/>
        <v>0</v>
      </c>
      <c r="K112" s="69"/>
      <c r="L112" s="99">
        <f t="shared" si="22"/>
        <v>0</v>
      </c>
      <c r="M112" s="69"/>
      <c r="N112" s="99">
        <f t="shared" si="23"/>
        <v>0</v>
      </c>
      <c r="O112" s="163">
        <f t="shared" si="20"/>
        <v>0</v>
      </c>
    </row>
    <row r="113" spans="1:15" x14ac:dyDescent="0.2">
      <c r="A113" s="100" t="str">
        <f>IF(ISERROR(VLOOKUP(C113,Parameters!$F:$G,2,0)),"-",VLOOKUP(C113,Parameters!$F:$G,2,0))</f>
        <v>11J</v>
      </c>
      <c r="B113" s="192" t="str">
        <f>IF($A113="-","-",IF((COUNTIF($A$104:$A113,$A113)-1)&lt;10,$A113&amp;"-0"&amp;(COUNTIF($A$104:$A113,$A113)-1),$A113&amp;"-"&amp;(COUNTIF($A$104:$A113,$A113)-1)))</f>
        <v>11J-00</v>
      </c>
      <c r="C113" s="79" t="s">
        <v>389</v>
      </c>
      <c r="D113" s="79"/>
      <c r="E113" s="79"/>
      <c r="F113" s="102"/>
      <c r="G113" s="103"/>
      <c r="H113" s="82"/>
      <c r="J113" s="99">
        <f t="shared" si="21"/>
        <v>0</v>
      </c>
      <c r="K113" s="69"/>
      <c r="L113" s="99">
        <f t="shared" si="22"/>
        <v>0</v>
      </c>
      <c r="M113" s="69"/>
      <c r="N113" s="99">
        <f t="shared" si="23"/>
        <v>0</v>
      </c>
      <c r="O113" s="163">
        <f t="shared" si="20"/>
        <v>0</v>
      </c>
    </row>
    <row r="114" spans="1:15" x14ac:dyDescent="0.2">
      <c r="A114" s="100" t="str">
        <f>IF(ISERROR(VLOOKUP(C114,Parameters!$F:$G,2,0)),"-",VLOOKUP(C114,Parameters!$F:$G,2,0))</f>
        <v>11K</v>
      </c>
      <c r="B114" s="192" t="str">
        <f>IF($A114="-","-",IF((COUNTIF($A$104:$A114,$A114)-1)&lt;10,$A114&amp;"-0"&amp;(COUNTIF($A$104:$A114,$A114)-1),$A114&amp;"-"&amp;(COUNTIF($A$104:$A114,$A114)-1)))</f>
        <v>11K-00</v>
      </c>
      <c r="C114" s="79" t="s">
        <v>391</v>
      </c>
      <c r="D114" s="79"/>
      <c r="E114" s="79"/>
      <c r="F114" s="102"/>
      <c r="G114" s="103"/>
      <c r="H114" s="82"/>
      <c r="J114" s="99">
        <f t="shared" si="21"/>
        <v>0</v>
      </c>
      <c r="K114" s="69"/>
      <c r="L114" s="99">
        <f t="shared" si="22"/>
        <v>0</v>
      </c>
      <c r="M114" s="69"/>
      <c r="N114" s="99">
        <f t="shared" si="23"/>
        <v>0</v>
      </c>
      <c r="O114" s="163">
        <f t="shared" si="20"/>
        <v>0</v>
      </c>
    </row>
    <row r="115" spans="1:15" ht="13.5" thickBot="1" x14ac:dyDescent="0.25">
      <c r="A115" s="100" t="str">
        <f>IF(ISERROR(VLOOKUP(C115,Parameters!$F:$G,2,0)),"-",VLOOKUP(C115,Parameters!$F:$G,2,0))</f>
        <v>11L</v>
      </c>
      <c r="B115" s="192" t="str">
        <f>IF($A115="-","-",IF((COUNTIF($A$104:$A115,$A115)-1)&lt;10,$A115&amp;"-0"&amp;(COUNTIF($A$104:$A115,$A115)-1),$A115&amp;"-"&amp;(COUNTIF($A$104:$A115,$A115)-1)))</f>
        <v>11L-00</v>
      </c>
      <c r="C115" s="79" t="s">
        <v>393</v>
      </c>
      <c r="D115" s="79"/>
      <c r="E115" s="79"/>
      <c r="F115" s="102"/>
      <c r="G115" s="103"/>
      <c r="H115" s="82"/>
      <c r="J115" s="101">
        <f>ROUND(F115*G115,2)</f>
        <v>0</v>
      </c>
      <c r="K115" s="69"/>
      <c r="L115" s="101">
        <f>ROUND(IF(H115="Yes",J115*13.8%,0),2)</f>
        <v>0</v>
      </c>
      <c r="M115" s="69"/>
      <c r="N115" s="101">
        <f>J115+L115</f>
        <v>0</v>
      </c>
      <c r="O115" s="163">
        <f t="shared" si="20"/>
        <v>0</v>
      </c>
    </row>
    <row r="116" spans="1:15" x14ac:dyDescent="0.2">
      <c r="A116" s="368" t="str">
        <f>A103&amp;" TOTAL"</f>
        <v>11 - TOTAL</v>
      </c>
      <c r="B116" s="369"/>
      <c r="C116" s="369"/>
      <c r="D116" s="369"/>
      <c r="E116" s="369"/>
      <c r="F116" s="369"/>
      <c r="G116" s="369"/>
      <c r="H116" s="370"/>
      <c r="J116" s="374">
        <f>SUM(J103:J115)</f>
        <v>0</v>
      </c>
      <c r="L116" s="374">
        <f>SUM(L103:L115)</f>
        <v>0</v>
      </c>
      <c r="N116" s="374">
        <f>SUM(N103:N115)</f>
        <v>0</v>
      </c>
      <c r="O116" s="135">
        <f>IF(N116=0,0,1)</f>
        <v>0</v>
      </c>
    </row>
    <row r="117" spans="1:15" ht="13.5" thickBot="1" x14ac:dyDescent="0.25">
      <c r="A117" s="371"/>
      <c r="B117" s="372"/>
      <c r="C117" s="372"/>
      <c r="D117" s="372"/>
      <c r="E117" s="372"/>
      <c r="F117" s="372"/>
      <c r="G117" s="372"/>
      <c r="H117" s="373"/>
      <c r="J117" s="375"/>
      <c r="L117" s="375"/>
      <c r="N117" s="375"/>
      <c r="O117" s="135">
        <f>O116</f>
        <v>0</v>
      </c>
    </row>
    <row r="118" spans="1:15" x14ac:dyDescent="0.2">
      <c r="J118" s="195">
        <f>J116</f>
        <v>0</v>
      </c>
      <c r="O118" s="163">
        <f>IF(N116=0,0,1)</f>
        <v>0</v>
      </c>
    </row>
    <row r="119" spans="1:15" x14ac:dyDescent="0.2">
      <c r="J119" s="195">
        <f>J118</f>
        <v>0</v>
      </c>
      <c r="O119" s="163">
        <f>O118</f>
        <v>0</v>
      </c>
    </row>
    <row r="120" spans="1:15" ht="13.5" thickBot="1" x14ac:dyDescent="0.25">
      <c r="J120" s="195">
        <f>J119</f>
        <v>0</v>
      </c>
      <c r="O120" s="163">
        <f>O119</f>
        <v>0</v>
      </c>
    </row>
    <row r="121" spans="1:15" ht="39" thickBot="1" x14ac:dyDescent="0.25">
      <c r="A121" s="53" t="s">
        <v>94</v>
      </c>
      <c r="B121" s="54" t="s">
        <v>934</v>
      </c>
      <c r="C121" s="54" t="s">
        <v>922</v>
      </c>
      <c r="D121" s="54" t="s">
        <v>923</v>
      </c>
      <c r="E121" s="54" t="s">
        <v>924</v>
      </c>
      <c r="F121" s="54" t="s">
        <v>954</v>
      </c>
      <c r="G121" s="54" t="s">
        <v>929</v>
      </c>
      <c r="H121" s="56" t="s">
        <v>955</v>
      </c>
      <c r="I121" s="63"/>
      <c r="J121" s="97" t="str">
        <f>"Basic - "&amp;Currency</f>
        <v>Basic - £</v>
      </c>
      <c r="K121" s="63"/>
      <c r="L121" s="64" t="str">
        <f>"NI - "&amp;Currency</f>
        <v>NI - £</v>
      </c>
      <c r="M121" s="63"/>
      <c r="N121" s="64" t="str">
        <f>"Total - "&amp;Currency</f>
        <v>Total - £</v>
      </c>
      <c r="O121" s="163">
        <f>IF(N129=0,0,1)</f>
        <v>0</v>
      </c>
    </row>
    <row r="122" spans="1:15" x14ac:dyDescent="0.2">
      <c r="A122" s="188" t="s">
        <v>963</v>
      </c>
      <c r="B122" s="189" t="s">
        <v>971</v>
      </c>
      <c r="C122" s="190"/>
      <c r="D122" s="190"/>
      <c r="E122" s="190"/>
      <c r="F122" s="190"/>
      <c r="G122" s="190"/>
      <c r="H122" s="191"/>
      <c r="J122" s="196" t="s">
        <v>996</v>
      </c>
      <c r="L122" s="98"/>
      <c r="N122" s="98"/>
      <c r="O122" s="163">
        <f>O121</f>
        <v>0</v>
      </c>
    </row>
    <row r="123" spans="1:15" x14ac:dyDescent="0.2">
      <c r="A123" s="184" t="str">
        <f>IF(ISERROR(VLOOKUP(C123,Parameters!$F:$G,2,0)),"-",VLOOKUP(C123,Parameters!$F:$G,2,0))</f>
        <v>12A</v>
      </c>
      <c r="B123" s="192" t="str">
        <f>IF($A123="-","-",IF((COUNTIF($A$123:$A123,$A123)-1)&lt;10,$A123&amp;"-0"&amp;(COUNTIF($A$123:$A123,$A123)-1),$A123&amp;"-"&amp;(COUNTIF($A$123:$A123,$A123)-1)))</f>
        <v>12A-00</v>
      </c>
      <c r="C123" s="79" t="s">
        <v>395</v>
      </c>
      <c r="D123" s="79"/>
      <c r="E123" s="79"/>
      <c r="F123" s="102"/>
      <c r="G123" s="103"/>
      <c r="H123" s="82"/>
      <c r="J123" s="99">
        <f t="shared" ref="J123:J128" si="24">ROUND(F123*G123,2)</f>
        <v>0</v>
      </c>
      <c r="K123" s="69"/>
      <c r="L123" s="99">
        <f t="shared" ref="L123:L128" si="25">ROUND(IF(H123="Yes",J123*13.8%,0),2)</f>
        <v>0</v>
      </c>
      <c r="M123" s="69"/>
      <c r="N123" s="99">
        <f t="shared" ref="N123:N128" si="26">J123+L123</f>
        <v>0</v>
      </c>
      <c r="O123" s="163">
        <f t="shared" ref="O123:O129" si="27">IF(N123=0,0,1)</f>
        <v>0</v>
      </c>
    </row>
    <row r="124" spans="1:15" x14ac:dyDescent="0.2">
      <c r="A124" s="100" t="str">
        <f>IF(ISERROR(VLOOKUP(C124,Parameters!$F:$G,2,0)),"-",VLOOKUP(C124,Parameters!$F:$G,2,0))</f>
        <v>12B</v>
      </c>
      <c r="B124" s="192" t="str">
        <f>IF($A124="-","-",IF((COUNTIF($A$123:$A124,$A124)-1)&lt;10,$A124&amp;"-0"&amp;(COUNTIF($A$123:$A124,$A124)-1),$A124&amp;"-"&amp;(COUNTIF($A$123:$A124,$A124)-1)))</f>
        <v>12B-00</v>
      </c>
      <c r="C124" s="79" t="s">
        <v>397</v>
      </c>
      <c r="D124" s="79"/>
      <c r="E124" s="79"/>
      <c r="F124" s="102"/>
      <c r="G124" s="103"/>
      <c r="H124" s="82"/>
      <c r="J124" s="99">
        <f t="shared" si="24"/>
        <v>0</v>
      </c>
      <c r="K124" s="69"/>
      <c r="L124" s="99">
        <f t="shared" si="25"/>
        <v>0</v>
      </c>
      <c r="M124" s="69"/>
      <c r="N124" s="99">
        <f t="shared" si="26"/>
        <v>0</v>
      </c>
      <c r="O124" s="163">
        <f t="shared" si="27"/>
        <v>0</v>
      </c>
    </row>
    <row r="125" spans="1:15" x14ac:dyDescent="0.2">
      <c r="A125" s="100" t="str">
        <f>IF(ISERROR(VLOOKUP(C125,Parameters!$F:$G,2,0)),"-",VLOOKUP(C125,Parameters!$F:$G,2,0))</f>
        <v>12C</v>
      </c>
      <c r="B125" s="192" t="str">
        <f>IF($A125="-","-",IF((COUNTIF($A$123:$A125,$A125)-1)&lt;10,$A125&amp;"-0"&amp;(COUNTIF($A$123:$A125,$A125)-1),$A125&amp;"-"&amp;(COUNTIF($A$123:$A125,$A125)-1)))</f>
        <v>12C-00</v>
      </c>
      <c r="C125" s="79" t="s">
        <v>399</v>
      </c>
      <c r="D125" s="79"/>
      <c r="E125" s="79"/>
      <c r="F125" s="102"/>
      <c r="G125" s="103"/>
      <c r="H125" s="82"/>
      <c r="J125" s="99">
        <f t="shared" si="24"/>
        <v>0</v>
      </c>
      <c r="K125" s="69"/>
      <c r="L125" s="99">
        <f t="shared" si="25"/>
        <v>0</v>
      </c>
      <c r="M125" s="69"/>
      <c r="N125" s="99">
        <f t="shared" si="26"/>
        <v>0</v>
      </c>
      <c r="O125" s="163">
        <f t="shared" si="27"/>
        <v>0</v>
      </c>
    </row>
    <row r="126" spans="1:15" x14ac:dyDescent="0.2">
      <c r="A126" s="100" t="str">
        <f>IF(ISERROR(VLOOKUP(C126,Parameters!$F:$G,2,0)),"-",VLOOKUP(C126,Parameters!$F:$G,2,0))</f>
        <v>12D</v>
      </c>
      <c r="B126" s="192" t="str">
        <f>IF($A126="-","-",IF((COUNTIF($A$123:$A126,$A126)-1)&lt;10,$A126&amp;"-0"&amp;(COUNTIF($A$123:$A126,$A126)-1),$A126&amp;"-"&amp;(COUNTIF($A$123:$A126,$A126)-1)))</f>
        <v>12D-00</v>
      </c>
      <c r="C126" s="79" t="s">
        <v>401</v>
      </c>
      <c r="D126" s="79"/>
      <c r="E126" s="79"/>
      <c r="F126" s="102"/>
      <c r="G126" s="103"/>
      <c r="H126" s="82"/>
      <c r="J126" s="99">
        <f t="shared" si="24"/>
        <v>0</v>
      </c>
      <c r="K126" s="69"/>
      <c r="L126" s="99">
        <f t="shared" si="25"/>
        <v>0</v>
      </c>
      <c r="M126" s="69"/>
      <c r="N126" s="99">
        <f t="shared" si="26"/>
        <v>0</v>
      </c>
      <c r="O126" s="163">
        <f t="shared" si="27"/>
        <v>0</v>
      </c>
    </row>
    <row r="127" spans="1:15" x14ac:dyDescent="0.2">
      <c r="A127" s="100" t="str">
        <f>IF(ISERROR(VLOOKUP(C127,Parameters!$F:$G,2,0)),"-",VLOOKUP(C127,Parameters!$F:$G,2,0))</f>
        <v>12E</v>
      </c>
      <c r="B127" s="192" t="str">
        <f>IF($A127="-","-",IF((COUNTIF($A$123:$A127,$A127)-1)&lt;10,$A127&amp;"-0"&amp;(COUNTIF($A$123:$A127,$A127)-1),$A127&amp;"-"&amp;(COUNTIF($A$123:$A127,$A127)-1)))</f>
        <v>12E-00</v>
      </c>
      <c r="C127" s="79" t="s">
        <v>403</v>
      </c>
      <c r="D127" s="79"/>
      <c r="E127" s="79"/>
      <c r="F127" s="102"/>
      <c r="G127" s="103"/>
      <c r="H127" s="82"/>
      <c r="J127" s="99">
        <f t="shared" si="24"/>
        <v>0</v>
      </c>
      <c r="K127" s="69"/>
      <c r="L127" s="99">
        <f t="shared" si="25"/>
        <v>0</v>
      </c>
      <c r="M127" s="69"/>
      <c r="N127" s="99">
        <f t="shared" si="26"/>
        <v>0</v>
      </c>
      <c r="O127" s="163">
        <f t="shared" si="27"/>
        <v>0</v>
      </c>
    </row>
    <row r="128" spans="1:15" ht="13.5" thickBot="1" x14ac:dyDescent="0.25">
      <c r="A128" s="100" t="str">
        <f>IF(ISERROR(VLOOKUP(C128,Parameters!$F:$G,2,0)),"-",VLOOKUP(C128,Parameters!$F:$G,2,0))</f>
        <v>12F</v>
      </c>
      <c r="B128" s="192" t="str">
        <f>IF($A128="-","-",IF((COUNTIF($A$123:$A128,$A128)-1)&lt;10,$A128&amp;"-0"&amp;(COUNTIF($A$123:$A128,$A128)-1),$A128&amp;"-"&amp;(COUNTIF($A$123:$A128,$A128)-1)))</f>
        <v>12F-00</v>
      </c>
      <c r="C128" s="79" t="s">
        <v>405</v>
      </c>
      <c r="D128" s="79"/>
      <c r="E128" s="79"/>
      <c r="F128" s="102"/>
      <c r="G128" s="103"/>
      <c r="H128" s="82"/>
      <c r="J128" s="101">
        <f t="shared" si="24"/>
        <v>0</v>
      </c>
      <c r="K128" s="69"/>
      <c r="L128" s="101">
        <f t="shared" si="25"/>
        <v>0</v>
      </c>
      <c r="M128" s="69"/>
      <c r="N128" s="101">
        <f t="shared" si="26"/>
        <v>0</v>
      </c>
      <c r="O128" s="163">
        <f t="shared" si="27"/>
        <v>0</v>
      </c>
    </row>
    <row r="129" spans="1:15" x14ac:dyDescent="0.2">
      <c r="A129" s="368" t="str">
        <f>A122&amp;" TOTAL"</f>
        <v>12 - TOTAL</v>
      </c>
      <c r="B129" s="369"/>
      <c r="C129" s="369"/>
      <c r="D129" s="369"/>
      <c r="E129" s="369"/>
      <c r="F129" s="369"/>
      <c r="G129" s="369"/>
      <c r="H129" s="370"/>
      <c r="J129" s="374">
        <f>SUM(J122:J128)</f>
        <v>0</v>
      </c>
      <c r="L129" s="374">
        <f>SUM(L122:L128)</f>
        <v>0</v>
      </c>
      <c r="N129" s="374">
        <f>SUM(N122:N128)</f>
        <v>0</v>
      </c>
      <c r="O129" s="135">
        <f t="shared" si="27"/>
        <v>0</v>
      </c>
    </row>
    <row r="130" spans="1:15" ht="13.5" thickBot="1" x14ac:dyDescent="0.25">
      <c r="A130" s="371"/>
      <c r="B130" s="372"/>
      <c r="C130" s="372"/>
      <c r="D130" s="372"/>
      <c r="E130" s="372"/>
      <c r="F130" s="372"/>
      <c r="G130" s="372"/>
      <c r="H130" s="373"/>
      <c r="J130" s="375"/>
      <c r="L130" s="375"/>
      <c r="N130" s="375"/>
      <c r="O130" s="135">
        <f>O129</f>
        <v>0</v>
      </c>
    </row>
    <row r="131" spans="1:15" x14ac:dyDescent="0.2">
      <c r="J131" s="195">
        <f>J129</f>
        <v>0</v>
      </c>
      <c r="O131" s="163">
        <f>IF(N129=0,0,1)</f>
        <v>0</v>
      </c>
    </row>
    <row r="132" spans="1:15" x14ac:dyDescent="0.2">
      <c r="J132" s="195">
        <f>J131</f>
        <v>0</v>
      </c>
      <c r="O132" s="163">
        <f>O131</f>
        <v>0</v>
      </c>
    </row>
    <row r="133" spans="1:15" ht="13.5" thickBot="1" x14ac:dyDescent="0.25">
      <c r="J133" s="195">
        <f>J132</f>
        <v>0</v>
      </c>
      <c r="O133" s="163">
        <f>O132</f>
        <v>0</v>
      </c>
    </row>
    <row r="134" spans="1:15" ht="39" thickBot="1" x14ac:dyDescent="0.25">
      <c r="A134" s="53" t="s">
        <v>94</v>
      </c>
      <c r="B134" s="54" t="s">
        <v>934</v>
      </c>
      <c r="C134" s="54" t="s">
        <v>922</v>
      </c>
      <c r="D134" s="54" t="s">
        <v>923</v>
      </c>
      <c r="E134" s="54" t="s">
        <v>924</v>
      </c>
      <c r="F134" s="54" t="s">
        <v>954</v>
      </c>
      <c r="G134" s="54" t="s">
        <v>929</v>
      </c>
      <c r="H134" s="56" t="s">
        <v>955</v>
      </c>
      <c r="I134" s="63"/>
      <c r="J134" s="97" t="str">
        <f>"Basic - "&amp;Currency</f>
        <v>Basic - £</v>
      </c>
      <c r="K134" s="63"/>
      <c r="L134" s="64" t="str">
        <f>"NI - "&amp;Currency</f>
        <v>NI - £</v>
      </c>
      <c r="M134" s="63"/>
      <c r="N134" s="64" t="str">
        <f>"Total - "&amp;Currency</f>
        <v>Total - £</v>
      </c>
      <c r="O134" s="163">
        <f>IF(N148=0,0,1)</f>
        <v>0</v>
      </c>
    </row>
    <row r="135" spans="1:15" x14ac:dyDescent="0.2">
      <c r="A135" s="188" t="s">
        <v>964</v>
      </c>
      <c r="B135" s="189" t="s">
        <v>972</v>
      </c>
      <c r="C135" s="190"/>
      <c r="D135" s="190"/>
      <c r="E135" s="190"/>
      <c r="F135" s="190"/>
      <c r="G135" s="190"/>
      <c r="H135" s="191"/>
      <c r="J135" s="196" t="s">
        <v>996</v>
      </c>
      <c r="L135" s="98"/>
      <c r="N135" s="98"/>
      <c r="O135" s="163">
        <f>O134</f>
        <v>0</v>
      </c>
    </row>
    <row r="136" spans="1:15" x14ac:dyDescent="0.2">
      <c r="A136" s="184" t="str">
        <f>IF(ISERROR(VLOOKUP(C136,Parameters!$F:$G,2,0)),"-",VLOOKUP(C136,Parameters!$F:$G,2,0))</f>
        <v>13A</v>
      </c>
      <c r="B136" s="192" t="str">
        <f>IF($A136="-","-",IF((COUNTIF($A$136:$A136,$A136)-1)&lt;10,$A136&amp;"-0"&amp;(COUNTIF($A$136:$A136,$A136)-1),$A136&amp;"-"&amp;(COUNTIF($A$136:$A136,$A136)-1)))</f>
        <v>13A-00</v>
      </c>
      <c r="C136" s="79" t="s">
        <v>407</v>
      </c>
      <c r="D136" s="79"/>
      <c r="E136" s="79"/>
      <c r="F136" s="102"/>
      <c r="G136" s="103"/>
      <c r="H136" s="82"/>
      <c r="J136" s="99">
        <f>ROUND(F136*G136,2)</f>
        <v>0</v>
      </c>
      <c r="K136" s="69"/>
      <c r="L136" s="99">
        <f>ROUND(IF(H136="Yes",J136*13.8%,0),2)</f>
        <v>0</v>
      </c>
      <c r="M136" s="69"/>
      <c r="N136" s="99">
        <f>J136+L136</f>
        <v>0</v>
      </c>
      <c r="O136" s="163">
        <f>IF(N136=0,0,1)</f>
        <v>0</v>
      </c>
    </row>
    <row r="137" spans="1:15" x14ac:dyDescent="0.2">
      <c r="A137" s="100" t="str">
        <f>IF(ISERROR(VLOOKUP(C137,Parameters!$F:$G,2,0)),"-",VLOOKUP(C137,Parameters!$F:$G,2,0))</f>
        <v>13B</v>
      </c>
      <c r="B137" s="192" t="str">
        <f>IF($A137="-","-",IF((COUNTIF($A$136:$A137,$A137)-1)&lt;10,$A137&amp;"-0"&amp;(COUNTIF($A$136:$A137,$A137)-1),$A137&amp;"-"&amp;(COUNTIF($A$136:$A137,$A137)-1)))</f>
        <v>13B-00</v>
      </c>
      <c r="C137" s="79" t="s">
        <v>409</v>
      </c>
      <c r="D137" s="79"/>
      <c r="E137" s="79"/>
      <c r="F137" s="102"/>
      <c r="G137" s="103"/>
      <c r="H137" s="82"/>
      <c r="J137" s="99">
        <f>ROUND(F137*G137,2)</f>
        <v>0</v>
      </c>
      <c r="K137" s="69"/>
      <c r="L137" s="99">
        <f>ROUND(IF(H137="Yes",J137*13.8%,0),2)</f>
        <v>0</v>
      </c>
      <c r="M137" s="69"/>
      <c r="N137" s="99">
        <f>J137+L137</f>
        <v>0</v>
      </c>
      <c r="O137" s="163">
        <f t="shared" ref="O137:O147" si="28">IF(N137=0,0,1)</f>
        <v>0</v>
      </c>
    </row>
    <row r="138" spans="1:15" x14ac:dyDescent="0.2">
      <c r="A138" s="100" t="str">
        <f>IF(ISERROR(VLOOKUP(C138,Parameters!$F:$G,2,0)),"-",VLOOKUP(C138,Parameters!$F:$G,2,0))</f>
        <v>13C</v>
      </c>
      <c r="B138" s="192" t="str">
        <f>IF($A138="-","-",IF((COUNTIF($A$136:$A138,$A138)-1)&lt;10,$A138&amp;"-0"&amp;(COUNTIF($A$136:$A138,$A138)-1),$A138&amp;"-"&amp;(COUNTIF($A$136:$A138,$A138)-1)))</f>
        <v>13C-00</v>
      </c>
      <c r="C138" s="79" t="s">
        <v>411</v>
      </c>
      <c r="D138" s="79"/>
      <c r="E138" s="79"/>
      <c r="F138" s="102"/>
      <c r="G138" s="103"/>
      <c r="H138" s="82"/>
      <c r="J138" s="99">
        <f t="shared" ref="J138:J145" si="29">ROUND(F138*G138,2)</f>
        <v>0</v>
      </c>
      <c r="K138" s="69"/>
      <c r="L138" s="99">
        <f t="shared" ref="L138:L145" si="30">ROUND(IF(H138="Yes",J138*13.8%,0),2)</f>
        <v>0</v>
      </c>
      <c r="M138" s="69"/>
      <c r="N138" s="99">
        <f t="shared" ref="N138:N145" si="31">J138+L138</f>
        <v>0</v>
      </c>
      <c r="O138" s="163">
        <f t="shared" si="28"/>
        <v>0</v>
      </c>
    </row>
    <row r="139" spans="1:15" x14ac:dyDescent="0.2">
      <c r="A139" s="100" t="str">
        <f>IF(ISERROR(VLOOKUP(C139,Parameters!$F:$G,2,0)),"-",VLOOKUP(C139,Parameters!$F:$G,2,0))</f>
        <v>13D</v>
      </c>
      <c r="B139" s="192" t="str">
        <f>IF($A139="-","-",IF((COUNTIF($A$136:$A139,$A139)-1)&lt;10,$A139&amp;"-0"&amp;(COUNTIF($A$136:$A139,$A139)-1),$A139&amp;"-"&amp;(COUNTIF($A$136:$A139,$A139)-1)))</f>
        <v>13D-00</v>
      </c>
      <c r="C139" s="79" t="s">
        <v>413</v>
      </c>
      <c r="D139" s="79"/>
      <c r="E139" s="79"/>
      <c r="F139" s="102"/>
      <c r="G139" s="103"/>
      <c r="H139" s="82"/>
      <c r="J139" s="99">
        <f t="shared" si="29"/>
        <v>0</v>
      </c>
      <c r="K139" s="69"/>
      <c r="L139" s="99">
        <f t="shared" si="30"/>
        <v>0</v>
      </c>
      <c r="M139" s="69"/>
      <c r="N139" s="99">
        <f t="shared" si="31"/>
        <v>0</v>
      </c>
      <c r="O139" s="163">
        <f t="shared" si="28"/>
        <v>0</v>
      </c>
    </row>
    <row r="140" spans="1:15" x14ac:dyDescent="0.2">
      <c r="A140" s="100" t="str">
        <f>IF(ISERROR(VLOOKUP(C140,Parameters!$F:$G,2,0)),"-",VLOOKUP(C140,Parameters!$F:$G,2,0))</f>
        <v>13E</v>
      </c>
      <c r="B140" s="192" t="str">
        <f>IF($A140="-","-",IF((COUNTIF($A$136:$A140,$A140)-1)&lt;10,$A140&amp;"-0"&amp;(COUNTIF($A$136:$A140,$A140)-1),$A140&amp;"-"&amp;(COUNTIF($A$136:$A140,$A140)-1)))</f>
        <v>13E-00</v>
      </c>
      <c r="C140" s="79" t="s">
        <v>415</v>
      </c>
      <c r="D140" s="79"/>
      <c r="E140" s="79"/>
      <c r="F140" s="102"/>
      <c r="G140" s="103"/>
      <c r="H140" s="82"/>
      <c r="J140" s="99">
        <f t="shared" si="29"/>
        <v>0</v>
      </c>
      <c r="K140" s="69"/>
      <c r="L140" s="99">
        <f t="shared" si="30"/>
        <v>0</v>
      </c>
      <c r="M140" s="69"/>
      <c r="N140" s="99">
        <f t="shared" si="31"/>
        <v>0</v>
      </c>
      <c r="O140" s="163">
        <f t="shared" si="28"/>
        <v>0</v>
      </c>
    </row>
    <row r="141" spans="1:15" x14ac:dyDescent="0.2">
      <c r="A141" s="100" t="str">
        <f>IF(ISERROR(VLOOKUP(C141,Parameters!$F:$G,2,0)),"-",VLOOKUP(C141,Parameters!$F:$G,2,0))</f>
        <v>13F</v>
      </c>
      <c r="B141" s="192" t="str">
        <f>IF($A141="-","-",IF((COUNTIF($A$136:$A141,$A141)-1)&lt;10,$A141&amp;"-0"&amp;(COUNTIF($A$136:$A141,$A141)-1),$A141&amp;"-"&amp;(COUNTIF($A$136:$A141,$A141)-1)))</f>
        <v>13F-00</v>
      </c>
      <c r="C141" s="79" t="s">
        <v>417</v>
      </c>
      <c r="D141" s="79"/>
      <c r="E141" s="79"/>
      <c r="F141" s="102"/>
      <c r="G141" s="103"/>
      <c r="H141" s="82"/>
      <c r="J141" s="99">
        <f t="shared" si="29"/>
        <v>0</v>
      </c>
      <c r="K141" s="69"/>
      <c r="L141" s="99">
        <f t="shared" si="30"/>
        <v>0</v>
      </c>
      <c r="M141" s="69"/>
      <c r="N141" s="99">
        <f t="shared" si="31"/>
        <v>0</v>
      </c>
      <c r="O141" s="163">
        <f t="shared" si="28"/>
        <v>0</v>
      </c>
    </row>
    <row r="142" spans="1:15" x14ac:dyDescent="0.2">
      <c r="A142" s="100" t="str">
        <f>IF(ISERROR(VLOOKUP(C142,Parameters!$F:$G,2,0)),"-",VLOOKUP(C142,Parameters!$F:$G,2,0))</f>
        <v>13G</v>
      </c>
      <c r="B142" s="192" t="str">
        <f>IF($A142="-","-",IF((COUNTIF($A$136:$A142,$A142)-1)&lt;10,$A142&amp;"-0"&amp;(COUNTIF($A$136:$A142,$A142)-1),$A142&amp;"-"&amp;(COUNTIF($A$136:$A142,$A142)-1)))</f>
        <v>13G-00</v>
      </c>
      <c r="C142" s="79" t="s">
        <v>419</v>
      </c>
      <c r="D142" s="79"/>
      <c r="E142" s="79"/>
      <c r="F142" s="102"/>
      <c r="G142" s="103"/>
      <c r="H142" s="82"/>
      <c r="J142" s="99">
        <f t="shared" si="29"/>
        <v>0</v>
      </c>
      <c r="K142" s="69"/>
      <c r="L142" s="99">
        <f t="shared" si="30"/>
        <v>0</v>
      </c>
      <c r="M142" s="69"/>
      <c r="N142" s="99">
        <f t="shared" si="31"/>
        <v>0</v>
      </c>
      <c r="O142" s="163">
        <f t="shared" si="28"/>
        <v>0</v>
      </c>
    </row>
    <row r="143" spans="1:15" x14ac:dyDescent="0.2">
      <c r="A143" s="100" t="str">
        <f>IF(ISERROR(VLOOKUP(C143,Parameters!$F:$G,2,0)),"-",VLOOKUP(C143,Parameters!$F:$G,2,0))</f>
        <v>13H</v>
      </c>
      <c r="B143" s="192" t="str">
        <f>IF($A143="-","-",IF((COUNTIF($A$136:$A143,$A143)-1)&lt;10,$A143&amp;"-0"&amp;(COUNTIF($A$136:$A143,$A143)-1),$A143&amp;"-"&amp;(COUNTIF($A$136:$A143,$A143)-1)))</f>
        <v>13H-00</v>
      </c>
      <c r="C143" s="79" t="s">
        <v>421</v>
      </c>
      <c r="D143" s="79"/>
      <c r="E143" s="79"/>
      <c r="F143" s="102"/>
      <c r="G143" s="103"/>
      <c r="H143" s="82"/>
      <c r="J143" s="99">
        <f t="shared" si="29"/>
        <v>0</v>
      </c>
      <c r="K143" s="69"/>
      <c r="L143" s="99">
        <f t="shared" si="30"/>
        <v>0</v>
      </c>
      <c r="M143" s="69"/>
      <c r="N143" s="99">
        <f t="shared" si="31"/>
        <v>0</v>
      </c>
      <c r="O143" s="163">
        <f t="shared" si="28"/>
        <v>0</v>
      </c>
    </row>
    <row r="144" spans="1:15" x14ac:dyDescent="0.2">
      <c r="A144" s="100" t="str">
        <f>IF(ISERROR(VLOOKUP(C144,Parameters!$F:$G,2,0)),"-",VLOOKUP(C144,Parameters!$F:$G,2,0))</f>
        <v>13I</v>
      </c>
      <c r="B144" s="192" t="str">
        <f>IF($A144="-","-",IF((COUNTIF($A$136:$A144,$A144)-1)&lt;10,$A144&amp;"-0"&amp;(COUNTIF($A$136:$A144,$A144)-1),$A144&amp;"-"&amp;(COUNTIF($A$136:$A144,$A144)-1)))</f>
        <v>13I-00</v>
      </c>
      <c r="C144" s="79" t="s">
        <v>423</v>
      </c>
      <c r="D144" s="79"/>
      <c r="E144" s="79"/>
      <c r="F144" s="102"/>
      <c r="G144" s="103"/>
      <c r="H144" s="82"/>
      <c r="J144" s="99">
        <f t="shared" si="29"/>
        <v>0</v>
      </c>
      <c r="K144" s="69"/>
      <c r="L144" s="99">
        <f t="shared" si="30"/>
        <v>0</v>
      </c>
      <c r="M144" s="69"/>
      <c r="N144" s="99">
        <f t="shared" si="31"/>
        <v>0</v>
      </c>
      <c r="O144" s="163">
        <f t="shared" si="28"/>
        <v>0</v>
      </c>
    </row>
    <row r="145" spans="1:15" x14ac:dyDescent="0.2">
      <c r="A145" s="100" t="str">
        <f>IF(ISERROR(VLOOKUP(C145,Parameters!$F:$G,2,0)),"-",VLOOKUP(C145,Parameters!$F:$G,2,0))</f>
        <v>13J</v>
      </c>
      <c r="B145" s="192" t="str">
        <f>IF($A145="-","-",IF((COUNTIF($A$136:$A145,$A145)-1)&lt;10,$A145&amp;"-0"&amp;(COUNTIF($A$136:$A145,$A145)-1),$A145&amp;"-"&amp;(COUNTIF($A$136:$A145,$A145)-1)))</f>
        <v>13J-00</v>
      </c>
      <c r="C145" s="79" t="s">
        <v>425</v>
      </c>
      <c r="D145" s="79"/>
      <c r="E145" s="79"/>
      <c r="F145" s="102"/>
      <c r="G145" s="103"/>
      <c r="H145" s="82"/>
      <c r="J145" s="99">
        <f t="shared" si="29"/>
        <v>0</v>
      </c>
      <c r="K145" s="69"/>
      <c r="L145" s="99">
        <f t="shared" si="30"/>
        <v>0</v>
      </c>
      <c r="M145" s="69"/>
      <c r="N145" s="99">
        <f t="shared" si="31"/>
        <v>0</v>
      </c>
      <c r="O145" s="163">
        <f t="shared" si="28"/>
        <v>0</v>
      </c>
    </row>
    <row r="146" spans="1:15" x14ac:dyDescent="0.2">
      <c r="A146" s="100" t="str">
        <f>IF(ISERROR(VLOOKUP(C146,Parameters!$F:$G,2,0)),"-",VLOOKUP(C146,Parameters!$F:$G,2,0))</f>
        <v>13K</v>
      </c>
      <c r="B146" s="192" t="str">
        <f>IF($A146="-","-",IF((COUNTIF($A$136:$A146,$A146)-1)&lt;10,$A146&amp;"-0"&amp;(COUNTIF($A$136:$A146,$A146)-1),$A146&amp;"-"&amp;(COUNTIF($A$136:$A146,$A146)-1)))</f>
        <v>13K-00</v>
      </c>
      <c r="C146" s="79" t="s">
        <v>427</v>
      </c>
      <c r="D146" s="79"/>
      <c r="E146" s="79"/>
      <c r="F146" s="102"/>
      <c r="G146" s="103"/>
      <c r="H146" s="82"/>
      <c r="J146" s="99">
        <f>ROUND(F146*G146,2)</f>
        <v>0</v>
      </c>
      <c r="K146" s="69"/>
      <c r="L146" s="99">
        <f>ROUND(IF(H146="Yes",J146*13.8%,0),2)</f>
        <v>0</v>
      </c>
      <c r="M146" s="69"/>
      <c r="N146" s="99">
        <f>J146+L146</f>
        <v>0</v>
      </c>
      <c r="O146" s="163">
        <f t="shared" si="28"/>
        <v>0</v>
      </c>
    </row>
    <row r="147" spans="1:15" ht="13.5" thickBot="1" x14ac:dyDescent="0.25">
      <c r="A147" s="100" t="str">
        <f>IF(ISERROR(VLOOKUP(C147,Parameters!$F:$G,2,0)),"-",VLOOKUP(C147,Parameters!$F:$G,2,0))</f>
        <v>13L</v>
      </c>
      <c r="B147" s="192" t="str">
        <f>IF($A147="-","-",IF((COUNTIF($A$136:$A147,$A147)-1)&lt;10,$A147&amp;"-0"&amp;(COUNTIF($A$136:$A147,$A147)-1),$A147&amp;"-"&amp;(COUNTIF($A$136:$A147,$A147)-1)))</f>
        <v>13L-00</v>
      </c>
      <c r="C147" s="79" t="s">
        <v>429</v>
      </c>
      <c r="D147" s="79"/>
      <c r="E147" s="79"/>
      <c r="F147" s="102"/>
      <c r="G147" s="103"/>
      <c r="H147" s="82"/>
      <c r="J147" s="101">
        <f>ROUND(F147*G147,2)</f>
        <v>0</v>
      </c>
      <c r="K147" s="69"/>
      <c r="L147" s="101">
        <f>ROUND(IF(H147="Yes",J147*13.8%,0),2)</f>
        <v>0</v>
      </c>
      <c r="M147" s="69"/>
      <c r="N147" s="101">
        <f>J147+L147</f>
        <v>0</v>
      </c>
      <c r="O147" s="163">
        <f t="shared" si="28"/>
        <v>0</v>
      </c>
    </row>
    <row r="148" spans="1:15" x14ac:dyDescent="0.2">
      <c r="A148" s="368" t="str">
        <f>A135&amp;" TOTAL"</f>
        <v>13 - TOTAL</v>
      </c>
      <c r="B148" s="369"/>
      <c r="C148" s="369"/>
      <c r="D148" s="369"/>
      <c r="E148" s="369"/>
      <c r="F148" s="369"/>
      <c r="G148" s="369"/>
      <c r="H148" s="370"/>
      <c r="J148" s="374">
        <f>SUM(J135:J147)</f>
        <v>0</v>
      </c>
      <c r="L148" s="374">
        <f>SUM(L135:L147)</f>
        <v>0</v>
      </c>
      <c r="N148" s="374">
        <f>SUM(N135:N147)</f>
        <v>0</v>
      </c>
      <c r="O148" s="135">
        <f>IF(N148=0,0,1)</f>
        <v>0</v>
      </c>
    </row>
    <row r="149" spans="1:15" ht="13.5" thickBot="1" x14ac:dyDescent="0.25">
      <c r="A149" s="371"/>
      <c r="B149" s="372"/>
      <c r="C149" s="372"/>
      <c r="D149" s="372"/>
      <c r="E149" s="372"/>
      <c r="F149" s="372"/>
      <c r="G149" s="372"/>
      <c r="H149" s="373"/>
      <c r="J149" s="375"/>
      <c r="L149" s="375"/>
      <c r="N149" s="375"/>
      <c r="O149" s="135">
        <f>O148</f>
        <v>0</v>
      </c>
    </row>
    <row r="150" spans="1:15" x14ac:dyDescent="0.2">
      <c r="J150" s="195">
        <f>J148</f>
        <v>0</v>
      </c>
    </row>
    <row r="151" spans="1:15" x14ac:dyDescent="0.2">
      <c r="J151" s="195">
        <f>J150</f>
        <v>0</v>
      </c>
    </row>
    <row r="152" spans="1:15" x14ac:dyDescent="0.2">
      <c r="J152" s="195">
        <f>J151</f>
        <v>0</v>
      </c>
    </row>
  </sheetData>
  <sheetProtection sheet="1" objects="1" scenarios="1" formatCells="0" formatColumns="0" formatRows="0"/>
  <autoFilter ref="A11:O149"/>
  <mergeCells count="37">
    <mergeCell ref="A8:B8"/>
    <mergeCell ref="J20:J21"/>
    <mergeCell ref="A1:C1"/>
    <mergeCell ref="A3:B3"/>
    <mergeCell ref="A4:B4"/>
    <mergeCell ref="A7:B7"/>
    <mergeCell ref="L20:L21"/>
    <mergeCell ref="N20:N21"/>
    <mergeCell ref="A20:H21"/>
    <mergeCell ref="A39:H40"/>
    <mergeCell ref="J39:J40"/>
    <mergeCell ref="L39:L40"/>
    <mergeCell ref="N39:N40"/>
    <mergeCell ref="A52:H53"/>
    <mergeCell ref="J52:J53"/>
    <mergeCell ref="L52:L53"/>
    <mergeCell ref="N52:N53"/>
    <mergeCell ref="A67:H68"/>
    <mergeCell ref="J67:J68"/>
    <mergeCell ref="L67:L68"/>
    <mergeCell ref="N67:N68"/>
    <mergeCell ref="A97:H98"/>
    <mergeCell ref="J97:J98"/>
    <mergeCell ref="L97:L98"/>
    <mergeCell ref="N97:N98"/>
    <mergeCell ref="A116:H117"/>
    <mergeCell ref="J116:J117"/>
    <mergeCell ref="L116:L117"/>
    <mergeCell ref="N116:N117"/>
    <mergeCell ref="A129:H130"/>
    <mergeCell ref="J129:J130"/>
    <mergeCell ref="L129:L130"/>
    <mergeCell ref="N129:N130"/>
    <mergeCell ref="A148:H149"/>
    <mergeCell ref="J148:J149"/>
    <mergeCell ref="L148:L149"/>
    <mergeCell ref="N148:N149"/>
  </mergeCells>
  <phoneticPr fontId="7" type="noConversion"/>
  <dataValidations count="9">
    <dataValidation type="list" allowBlank="1" showInputMessage="1" showErrorMessage="1" sqref="H59:H66 H104:H115 H27:H38 H46:H51 H123:H128 H74:H96 H136:H147 H13:H19">
      <formula1>"Yes,No"</formula1>
    </dataValidation>
    <dataValidation type="list" allowBlank="1" showInputMessage="1" showErrorMessage="1" sqref="C13:C19">
      <formula1>INDIRECT("List"&amp;LEFT($A$12,2))</formula1>
    </dataValidation>
    <dataValidation type="list" allowBlank="1" showInputMessage="1" showErrorMessage="1" sqref="C27:C38">
      <formula1>INDIRECT("List"&amp;LEFT($A$26,2))</formula1>
    </dataValidation>
    <dataValidation type="list" allowBlank="1" showInputMessage="1" showErrorMessage="1" sqref="C46:C51">
      <formula1>INDIRECT("List"&amp;LEFT($A$45,2))</formula1>
    </dataValidation>
    <dataValidation type="list" allowBlank="1" showInputMessage="1" showErrorMessage="1" sqref="C59:C66">
      <formula1>INDIRECT("List"&amp;LEFT($A$58,2))</formula1>
    </dataValidation>
    <dataValidation type="list" allowBlank="1" showInputMessage="1" showErrorMessage="1" sqref="C74:C96">
      <formula1>INDIRECT("List"&amp;LEFT($A$73,2))</formula1>
    </dataValidation>
    <dataValidation type="list" allowBlank="1" showInputMessage="1" showErrorMessage="1" sqref="C104:C115">
      <formula1>INDIRECT("List"&amp;LEFT($A$103,2))</formula1>
    </dataValidation>
    <dataValidation type="list" allowBlank="1" showInputMessage="1" showErrorMessage="1" sqref="C123:C128">
      <formula1>INDIRECT("List"&amp;LEFT($A$122,2))</formula1>
    </dataValidation>
    <dataValidation type="list" allowBlank="1" showInputMessage="1" showErrorMessage="1" sqref="C136:C147">
      <formula1>INDIRECT("List"&amp;LEFT($A$135,2))</formula1>
    </dataValidation>
  </dataValidations>
  <hyperlinks>
    <hyperlink ref="A2" location="Detail!D9" display="Back to Detail Page"/>
  </hyperlinks>
  <pageMargins left="0.75" right="0.75" top="1" bottom="1" header="0.5" footer="0.5"/>
  <pageSetup paperSize="9" scale="31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5" r:id="rId4" name="Button 9">
              <controlPr defaultSize="0" print="0" autoFill="0" autoPict="0" macro="[0]!InsertCrewRow">
                <anchor moveWithCells="1" sizeWithCells="1">
                  <from>
                    <xdr:col>4</xdr:col>
                    <xdr:colOff>0</xdr:colOff>
                    <xdr:row>0</xdr:row>
                    <xdr:rowOff>85725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 10">
              <controlPr defaultSize="0" print="0" autoFill="0" autoPict="0" macro="[0]!DeleteRow">
                <anchor moveWithCells="1" sizeWithCells="1">
                  <from>
                    <xdr:col>4</xdr:col>
                    <xdr:colOff>0</xdr:colOff>
                    <xdr:row>5</xdr:row>
                    <xdr:rowOff>85725</xdr:rowOff>
                  </from>
                  <to>
                    <xdr:col>6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6" name="Button 41">
              <controlPr defaultSize="0" print="0" autoFill="0" autoPict="0" macro="[0]!FilterCrewOn">
                <anchor moveWithCells="1" sizeWithCells="1">
                  <from>
                    <xdr:col>9</xdr:col>
                    <xdr:colOff>38100</xdr:colOff>
                    <xdr:row>0</xdr:row>
                    <xdr:rowOff>76200</xdr:rowOff>
                  </from>
                  <to>
                    <xdr:col>10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7" name="Button 42">
              <controlPr defaultSize="0" print="0" autoFill="0" autoPict="0" macro="[0]!FilterCrewOff">
                <anchor moveWithCells="1" sizeWithCells="1">
                  <from>
                    <xdr:col>9</xdr:col>
                    <xdr:colOff>57150</xdr:colOff>
                    <xdr:row>4</xdr:row>
                    <xdr:rowOff>85725</xdr:rowOff>
                  </from>
                  <to>
                    <xdr:col>10</xdr:col>
                    <xdr:colOff>19050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L48"/>
  <sheetViews>
    <sheetView showGridLines="0" zoomScale="80" workbookViewId="0">
      <selection activeCell="L2" sqref="L2"/>
    </sheetView>
  </sheetViews>
  <sheetFormatPr defaultRowHeight="12.75" x14ac:dyDescent="0.2"/>
  <cols>
    <col min="1" max="1" width="0.85546875" style="262" customWidth="1"/>
    <col min="2" max="2" width="7.140625" style="262" bestFit="1" customWidth="1"/>
    <col min="3" max="3" width="30" style="262" customWidth="1"/>
    <col min="4" max="4" width="10.5703125" style="262" customWidth="1"/>
    <col min="5" max="5" width="12.7109375" style="262" bestFit="1" customWidth="1"/>
    <col min="6" max="6" width="13" style="262" customWidth="1"/>
    <col min="7" max="7" width="1.5703125" style="262" customWidth="1"/>
    <col min="8" max="8" width="13.42578125" style="262" customWidth="1"/>
    <col min="9" max="9" width="1.5703125" style="262" customWidth="1"/>
    <col min="10" max="10" width="18.28515625" style="262" customWidth="1"/>
    <col min="11" max="11" width="1.5703125" style="262" customWidth="1"/>
    <col min="12" max="12" width="55.7109375" style="262" customWidth="1"/>
    <col min="13" max="16384" width="9.140625" style="262"/>
  </cols>
  <sheetData>
    <row r="1" spans="1:12" ht="4.5" customHeight="1" thickBot="1" x14ac:dyDescent="0.25">
      <c r="A1" s="197"/>
      <c r="B1" s="198"/>
      <c r="C1" s="197"/>
      <c r="D1" s="197"/>
      <c r="E1" s="197"/>
      <c r="F1" s="197"/>
      <c r="G1" s="197"/>
      <c r="H1" s="197"/>
      <c r="I1" s="197"/>
      <c r="J1" s="197"/>
      <c r="K1" s="197"/>
      <c r="L1" s="197"/>
    </row>
    <row r="2" spans="1:12" ht="18" x14ac:dyDescent="0.25">
      <c r="A2" s="197"/>
      <c r="B2" s="199"/>
      <c r="C2" s="200"/>
      <c r="D2" s="379" t="str">
        <f>Totals!E3</f>
        <v>ITV STUDIOS</v>
      </c>
      <c r="E2" s="379"/>
      <c r="F2" s="379"/>
      <c r="G2" s="379"/>
      <c r="H2" s="379"/>
      <c r="I2" s="200"/>
      <c r="J2" s="200"/>
      <c r="K2" s="200"/>
      <c r="L2" s="300" t="s">
        <v>976</v>
      </c>
    </row>
    <row r="3" spans="1:12" ht="18" x14ac:dyDescent="0.25">
      <c r="A3" s="197"/>
      <c r="B3" s="201"/>
      <c r="C3" s="202"/>
      <c r="D3" s="380" t="str">
        <f>Totals!E4</f>
        <v>FACTUAL / ENTERTAINMENT</v>
      </c>
      <c r="E3" s="380"/>
      <c r="F3" s="380"/>
      <c r="G3" s="380"/>
      <c r="H3" s="380"/>
      <c r="I3" s="202"/>
      <c r="J3" s="202"/>
      <c r="K3" s="202"/>
      <c r="L3" s="261"/>
    </row>
    <row r="4" spans="1:12" ht="18" x14ac:dyDescent="0.25">
      <c r="A4" s="197"/>
      <c r="B4" s="201"/>
      <c r="C4" s="202"/>
      <c r="D4" s="202"/>
      <c r="E4" s="203"/>
      <c r="F4" s="202"/>
      <c r="G4" s="202"/>
      <c r="H4" s="202"/>
      <c r="I4" s="202"/>
      <c r="J4" s="202"/>
      <c r="K4" s="202"/>
      <c r="L4" s="261"/>
    </row>
    <row r="5" spans="1:12" ht="13.5" x14ac:dyDescent="0.25">
      <c r="A5" s="197"/>
      <c r="B5" s="201"/>
      <c r="C5" s="202"/>
      <c r="D5" s="202"/>
      <c r="E5" s="202"/>
      <c r="F5" s="202"/>
      <c r="G5" s="202"/>
      <c r="H5" s="202"/>
      <c r="I5" s="202"/>
      <c r="J5" s="204"/>
      <c r="K5" s="202"/>
      <c r="L5" s="261"/>
    </row>
    <row r="6" spans="1:12" ht="16.5" thickBot="1" x14ac:dyDescent="0.3">
      <c r="A6" s="197"/>
      <c r="B6" s="201"/>
      <c r="C6" s="205" t="s">
        <v>71</v>
      </c>
      <c r="D6" s="381">
        <f>Name</f>
        <v>0</v>
      </c>
      <c r="E6" s="381"/>
      <c r="F6" s="381"/>
      <c r="G6" s="381"/>
      <c r="H6" s="381"/>
      <c r="I6" s="381"/>
      <c r="J6" s="381"/>
      <c r="K6" s="202"/>
      <c r="L6" s="261"/>
    </row>
    <row r="7" spans="1:12" ht="16.5" thickBot="1" x14ac:dyDescent="0.3">
      <c r="A7" s="197"/>
      <c r="B7" s="201"/>
      <c r="C7" s="205" t="s">
        <v>72</v>
      </c>
      <c r="D7" s="382">
        <f>Number</f>
        <v>0</v>
      </c>
      <c r="E7" s="382"/>
      <c r="F7" s="382"/>
      <c r="G7" s="382"/>
      <c r="H7" s="382"/>
      <c r="I7" s="382"/>
      <c r="J7" s="382"/>
      <c r="K7" s="202"/>
      <c r="L7" s="261"/>
    </row>
    <row r="8" spans="1:12" ht="15.75" x14ac:dyDescent="0.25">
      <c r="A8" s="197"/>
      <c r="B8" s="201"/>
      <c r="C8" s="206"/>
      <c r="D8" s="202"/>
      <c r="E8" s="202"/>
      <c r="F8" s="202"/>
      <c r="G8" s="202"/>
      <c r="H8" s="202"/>
      <c r="I8" s="202"/>
      <c r="J8" s="202"/>
      <c r="K8" s="202"/>
      <c r="L8" s="261"/>
    </row>
    <row r="9" spans="1:12" ht="15.75" x14ac:dyDescent="0.25">
      <c r="A9" s="197"/>
      <c r="B9" s="207"/>
      <c r="C9" s="383"/>
      <c r="D9" s="384"/>
      <c r="E9" s="385" t="s">
        <v>985</v>
      </c>
      <c r="F9" s="384"/>
      <c r="G9" s="208"/>
      <c r="H9" s="209" t="s">
        <v>986</v>
      </c>
      <c r="I9" s="210"/>
      <c r="J9" s="209" t="s">
        <v>987</v>
      </c>
      <c r="K9" s="211"/>
      <c r="L9" s="212"/>
    </row>
    <row r="10" spans="1:12" ht="15.75" x14ac:dyDescent="0.25">
      <c r="A10" s="197"/>
      <c r="B10" s="213" t="s">
        <v>94</v>
      </c>
      <c r="C10" s="386" t="s">
        <v>3</v>
      </c>
      <c r="D10" s="387"/>
      <c r="E10" s="214" t="s">
        <v>4</v>
      </c>
      <c r="F10" s="215" t="s">
        <v>5</v>
      </c>
      <c r="G10" s="216"/>
      <c r="H10" s="217" t="s">
        <v>988</v>
      </c>
      <c r="I10" s="218"/>
      <c r="J10" s="219" t="s">
        <v>989</v>
      </c>
      <c r="K10" s="220"/>
      <c r="L10" s="221" t="s">
        <v>70</v>
      </c>
    </row>
    <row r="11" spans="1:12" ht="16.5" x14ac:dyDescent="0.3">
      <c r="A11" s="197"/>
      <c r="B11" s="222"/>
      <c r="C11" s="388"/>
      <c r="D11" s="389"/>
      <c r="E11" s="223" t="str">
        <f>Currency</f>
        <v>£</v>
      </c>
      <c r="F11" s="224" t="str">
        <f>Currency</f>
        <v>£</v>
      </c>
      <c r="G11" s="225"/>
      <c r="H11" s="226" t="str">
        <f>Currency</f>
        <v>£</v>
      </c>
      <c r="I11" s="227"/>
      <c r="J11" s="226" t="str">
        <f>Currency</f>
        <v>£</v>
      </c>
      <c r="K11" s="228"/>
      <c r="L11" s="229"/>
    </row>
    <row r="12" spans="1:12" ht="7.5" customHeight="1" x14ac:dyDescent="0.25">
      <c r="A12" s="197"/>
      <c r="B12" s="230"/>
      <c r="C12" s="231"/>
      <c r="D12" s="232"/>
      <c r="E12" s="233"/>
      <c r="F12" s="234"/>
      <c r="G12" s="211"/>
      <c r="H12" s="220"/>
      <c r="I12" s="220"/>
      <c r="J12" s="220"/>
      <c r="K12" s="220"/>
      <c r="L12" s="257"/>
    </row>
    <row r="13" spans="1:12" ht="15.75" x14ac:dyDescent="0.25">
      <c r="A13" s="197"/>
      <c r="B13" s="246" t="str">
        <f>Totals!C18</f>
        <v>01</v>
      </c>
      <c r="C13" s="377" t="str">
        <f>Totals!D18</f>
        <v>Scripts/ Formats/Development</v>
      </c>
      <c r="D13" s="378"/>
      <c r="E13" s="235">
        <f>Totals!F18</f>
        <v>0</v>
      </c>
      <c r="F13" s="236">
        <f>Totals!G18</f>
        <v>0</v>
      </c>
      <c r="G13" s="247"/>
      <c r="H13" s="237"/>
      <c r="I13" s="247"/>
      <c r="J13" s="236">
        <f>H13-F13</f>
        <v>0</v>
      </c>
      <c r="K13" s="220"/>
      <c r="L13" s="258"/>
    </row>
    <row r="14" spans="1:12" ht="15.75" x14ac:dyDescent="0.25">
      <c r="A14" s="197"/>
      <c r="B14" s="246" t="str">
        <f>Totals!C19</f>
        <v>02</v>
      </c>
      <c r="C14" s="377" t="str">
        <f>Totals!D19</f>
        <v>Producer/Director</v>
      </c>
      <c r="D14" s="378"/>
      <c r="E14" s="235">
        <f>Totals!F19</f>
        <v>0</v>
      </c>
      <c r="F14" s="236">
        <f>Totals!G19</f>
        <v>0</v>
      </c>
      <c r="G14" s="247"/>
      <c r="H14" s="237"/>
      <c r="I14" s="247"/>
      <c r="J14" s="236">
        <f t="shared" ref="J14:J44" si="0">H14-F14</f>
        <v>0</v>
      </c>
      <c r="K14" s="220"/>
      <c r="L14" s="259"/>
    </row>
    <row r="15" spans="1:12" ht="15.75" x14ac:dyDescent="0.25">
      <c r="A15" s="197"/>
      <c r="B15" s="246" t="str">
        <f>Totals!C20</f>
        <v>03</v>
      </c>
      <c r="C15" s="377" t="str">
        <f>Totals!D20</f>
        <v>Artists</v>
      </c>
      <c r="D15" s="378"/>
      <c r="E15" s="235">
        <f>Totals!F20</f>
        <v>0</v>
      </c>
      <c r="F15" s="236">
        <f>Totals!G20</f>
        <v>0</v>
      </c>
      <c r="G15" s="247"/>
      <c r="H15" s="237"/>
      <c r="I15" s="247"/>
      <c r="J15" s="236">
        <f t="shared" si="0"/>
        <v>0</v>
      </c>
      <c r="K15" s="220"/>
      <c r="L15" s="258"/>
    </row>
    <row r="16" spans="1:12" ht="15.75" x14ac:dyDescent="0.25">
      <c r="A16" s="197"/>
      <c r="B16" s="246" t="str">
        <f>Totals!C21</f>
        <v>04</v>
      </c>
      <c r="C16" s="377" t="str">
        <f>Totals!D21</f>
        <v>Presenters/Interviewees/Contributors</v>
      </c>
      <c r="D16" s="378"/>
      <c r="E16" s="235">
        <f>Totals!F21</f>
        <v>0</v>
      </c>
      <c r="F16" s="236">
        <f>Totals!G21</f>
        <v>0</v>
      </c>
      <c r="G16" s="247"/>
      <c r="H16" s="237"/>
      <c r="I16" s="247"/>
      <c r="J16" s="236">
        <f t="shared" si="0"/>
        <v>0</v>
      </c>
      <c r="K16" s="220"/>
      <c r="L16" s="258"/>
    </row>
    <row r="17" spans="1:12" ht="15.75" x14ac:dyDescent="0.25">
      <c r="A17" s="197"/>
      <c r="B17" s="246" t="str">
        <f>Totals!C22</f>
        <v>05</v>
      </c>
      <c r="C17" s="377" t="str">
        <f>Totals!D22</f>
        <v>Production Unit Salaries</v>
      </c>
      <c r="D17" s="378"/>
      <c r="E17" s="235">
        <f>Totals!F22</f>
        <v>0</v>
      </c>
      <c r="F17" s="236">
        <f>Totals!G22</f>
        <v>0</v>
      </c>
      <c r="G17" s="247"/>
      <c r="H17" s="237"/>
      <c r="I17" s="247"/>
      <c r="J17" s="236">
        <f t="shared" si="0"/>
        <v>0</v>
      </c>
      <c r="K17" s="220"/>
      <c r="L17" s="258"/>
    </row>
    <row r="18" spans="1:12" ht="15.75" x14ac:dyDescent="0.25">
      <c r="A18" s="197"/>
      <c r="B18" s="246" t="str">
        <f>Totals!C23</f>
        <v>06</v>
      </c>
      <c r="C18" s="377" t="str">
        <f>Totals!D23</f>
        <v>Assistant Directors/Continuity</v>
      </c>
      <c r="D18" s="378"/>
      <c r="E18" s="235">
        <f>Totals!F23</f>
        <v>0</v>
      </c>
      <c r="F18" s="236">
        <f>Totals!G23</f>
        <v>0</v>
      </c>
      <c r="G18" s="247"/>
      <c r="H18" s="237"/>
      <c r="I18" s="247"/>
      <c r="J18" s="236">
        <f t="shared" si="0"/>
        <v>0</v>
      </c>
      <c r="K18" s="220"/>
      <c r="L18" s="258"/>
    </row>
    <row r="19" spans="1:12" ht="15.75" x14ac:dyDescent="0.25">
      <c r="A19" s="197"/>
      <c r="B19" s="246" t="str">
        <f>Totals!C24</f>
        <v>07</v>
      </c>
      <c r="C19" s="377" t="str">
        <f>Totals!D24</f>
        <v>Crew - Camera</v>
      </c>
      <c r="D19" s="378"/>
      <c r="E19" s="235">
        <f>Totals!F24</f>
        <v>0</v>
      </c>
      <c r="F19" s="236">
        <f>Totals!G24</f>
        <v>0</v>
      </c>
      <c r="G19" s="247"/>
      <c r="H19" s="237"/>
      <c r="I19" s="247"/>
      <c r="J19" s="236">
        <f t="shared" si="0"/>
        <v>0</v>
      </c>
      <c r="K19" s="220"/>
      <c r="L19" s="258"/>
    </row>
    <row r="20" spans="1:12" ht="15.75" x14ac:dyDescent="0.25">
      <c r="A20" s="197"/>
      <c r="B20" s="246" t="str">
        <f>Totals!C25</f>
        <v>08</v>
      </c>
      <c r="C20" s="377" t="str">
        <f>Totals!D25</f>
        <v>Crew - Sound</v>
      </c>
      <c r="D20" s="378"/>
      <c r="E20" s="235">
        <f>Totals!F25</f>
        <v>0</v>
      </c>
      <c r="F20" s="236">
        <f>Totals!G25</f>
        <v>0</v>
      </c>
      <c r="G20" s="247"/>
      <c r="H20" s="237"/>
      <c r="I20" s="247"/>
      <c r="J20" s="236">
        <f t="shared" si="0"/>
        <v>0</v>
      </c>
      <c r="K20" s="220"/>
      <c r="L20" s="258"/>
    </row>
    <row r="21" spans="1:12" ht="15.75" x14ac:dyDescent="0.25">
      <c r="A21" s="197"/>
      <c r="B21" s="246" t="str">
        <f>Totals!C26</f>
        <v>09</v>
      </c>
      <c r="C21" s="377" t="str">
        <f>Totals!D26</f>
        <v>Crew - Lighting</v>
      </c>
      <c r="D21" s="378"/>
      <c r="E21" s="235">
        <f>Totals!F26</f>
        <v>0</v>
      </c>
      <c r="F21" s="236">
        <f>Totals!G26</f>
        <v>0</v>
      </c>
      <c r="G21" s="247"/>
      <c r="H21" s="237"/>
      <c r="I21" s="247"/>
      <c r="J21" s="236">
        <f t="shared" si="0"/>
        <v>0</v>
      </c>
      <c r="K21" s="220"/>
      <c r="L21" s="258"/>
    </row>
    <row r="22" spans="1:12" ht="15.75" x14ac:dyDescent="0.25">
      <c r="A22" s="197"/>
      <c r="B22" s="246" t="str">
        <f>Totals!C27</f>
        <v>10</v>
      </c>
      <c r="C22" s="377" t="str">
        <f>Totals!D27</f>
        <v>Crew - Art Department</v>
      </c>
      <c r="D22" s="378"/>
      <c r="E22" s="235">
        <f>Totals!F27</f>
        <v>0</v>
      </c>
      <c r="F22" s="236">
        <f>Totals!G27</f>
        <v>0</v>
      </c>
      <c r="G22" s="247"/>
      <c r="H22" s="237"/>
      <c r="I22" s="247"/>
      <c r="J22" s="236">
        <f t="shared" si="0"/>
        <v>0</v>
      </c>
      <c r="K22" s="220"/>
      <c r="L22" s="258"/>
    </row>
    <row r="23" spans="1:12" ht="15.75" x14ac:dyDescent="0.25">
      <c r="A23" s="197"/>
      <c r="B23" s="246" t="str">
        <f>Totals!C28</f>
        <v>11</v>
      </c>
      <c r="C23" s="377" t="str">
        <f>Totals!D28</f>
        <v>Crew - Wardrobe/Make Up/Hair</v>
      </c>
      <c r="D23" s="378"/>
      <c r="E23" s="235">
        <f>Totals!F28</f>
        <v>0</v>
      </c>
      <c r="F23" s="236">
        <f>Totals!G28</f>
        <v>0</v>
      </c>
      <c r="G23" s="247"/>
      <c r="H23" s="237"/>
      <c r="I23" s="247"/>
      <c r="J23" s="236">
        <f t="shared" si="0"/>
        <v>0</v>
      </c>
      <c r="K23" s="220"/>
      <c r="L23" s="258"/>
    </row>
    <row r="24" spans="1:12" ht="15.75" x14ac:dyDescent="0.25">
      <c r="A24" s="197"/>
      <c r="B24" s="246" t="str">
        <f>Totals!C29</f>
        <v>12</v>
      </c>
      <c r="C24" s="377" t="str">
        <f>Totals!D29</f>
        <v>Crew - Animation</v>
      </c>
      <c r="D24" s="378"/>
      <c r="E24" s="235">
        <f>Totals!F29</f>
        <v>0</v>
      </c>
      <c r="F24" s="236">
        <f>Totals!G29</f>
        <v>0</v>
      </c>
      <c r="G24" s="247"/>
      <c r="H24" s="237"/>
      <c r="I24" s="247"/>
      <c r="J24" s="236">
        <f t="shared" si="0"/>
        <v>0</v>
      </c>
      <c r="K24" s="220"/>
      <c r="L24" s="258"/>
    </row>
    <row r="25" spans="1:12" ht="15.75" x14ac:dyDescent="0.25">
      <c r="A25" s="197"/>
      <c r="B25" s="246" t="str">
        <f>Totals!C30</f>
        <v>13</v>
      </c>
      <c r="C25" s="377" t="str">
        <f>Totals!D30</f>
        <v>Crew - Edit</v>
      </c>
      <c r="D25" s="378"/>
      <c r="E25" s="235">
        <f>Totals!F30</f>
        <v>0</v>
      </c>
      <c r="F25" s="236">
        <f>Totals!G30</f>
        <v>0</v>
      </c>
      <c r="G25" s="247"/>
      <c r="H25" s="237"/>
      <c r="I25" s="247"/>
      <c r="J25" s="236">
        <f t="shared" si="0"/>
        <v>0</v>
      </c>
      <c r="K25" s="220"/>
      <c r="L25" s="258"/>
    </row>
    <row r="26" spans="1:12" ht="15.75" x14ac:dyDescent="0.25">
      <c r="A26" s="197"/>
      <c r="B26" s="246" t="str">
        <f>Totals!C31</f>
        <v>14</v>
      </c>
      <c r="C26" s="377" t="str">
        <f>Totals!D31</f>
        <v>Materials - Art Department</v>
      </c>
      <c r="D26" s="378"/>
      <c r="E26" s="235">
        <f>Totals!F31</f>
        <v>0</v>
      </c>
      <c r="F26" s="236">
        <f>Totals!G31</f>
        <v>0</v>
      </c>
      <c r="G26" s="247"/>
      <c r="H26" s="237"/>
      <c r="I26" s="247"/>
      <c r="J26" s="236">
        <f t="shared" si="0"/>
        <v>0</v>
      </c>
      <c r="K26" s="220"/>
      <c r="L26" s="258"/>
    </row>
    <row r="27" spans="1:12" ht="15.75" x14ac:dyDescent="0.25">
      <c r="A27" s="197"/>
      <c r="B27" s="246" t="str">
        <f>Totals!C32</f>
        <v>15</v>
      </c>
      <c r="C27" s="377" t="str">
        <f>Totals!D32</f>
        <v>Materials - Wardrobe/Make Up /Hair</v>
      </c>
      <c r="D27" s="378"/>
      <c r="E27" s="235">
        <f>Totals!F32</f>
        <v>0</v>
      </c>
      <c r="F27" s="236">
        <f>Totals!G32</f>
        <v>0</v>
      </c>
      <c r="G27" s="247"/>
      <c r="H27" s="237"/>
      <c r="I27" s="247"/>
      <c r="J27" s="236">
        <f t="shared" si="0"/>
        <v>0</v>
      </c>
      <c r="K27" s="220"/>
      <c r="L27" s="258"/>
    </row>
    <row r="28" spans="1:12" ht="15.75" x14ac:dyDescent="0.25">
      <c r="A28" s="197"/>
      <c r="B28" s="246" t="str">
        <f>Totals!C33</f>
        <v>16</v>
      </c>
      <c r="C28" s="377" t="str">
        <f>Totals!D33</f>
        <v>Production Equipment</v>
      </c>
      <c r="D28" s="378"/>
      <c r="E28" s="235">
        <f>Totals!F33</f>
        <v>0</v>
      </c>
      <c r="F28" s="236">
        <f>Totals!G33</f>
        <v>0</v>
      </c>
      <c r="G28" s="247"/>
      <c r="H28" s="237"/>
      <c r="I28" s="247"/>
      <c r="J28" s="236">
        <f t="shared" si="0"/>
        <v>0</v>
      </c>
      <c r="K28" s="220"/>
      <c r="L28" s="258"/>
    </row>
    <row r="29" spans="1:12" ht="15.75" x14ac:dyDescent="0.25">
      <c r="A29" s="197"/>
      <c r="B29" s="246" t="str">
        <f>Totals!C34</f>
        <v>17</v>
      </c>
      <c r="C29" s="377" t="str">
        <f>Totals!D34</f>
        <v xml:space="preserve">Facility Packages </v>
      </c>
      <c r="D29" s="378"/>
      <c r="E29" s="235">
        <f>Totals!F34</f>
        <v>0</v>
      </c>
      <c r="F29" s="236">
        <f>Totals!G34</f>
        <v>0</v>
      </c>
      <c r="G29" s="247"/>
      <c r="H29" s="237"/>
      <c r="I29" s="247"/>
      <c r="J29" s="236">
        <f t="shared" si="0"/>
        <v>0</v>
      </c>
      <c r="K29" s="220"/>
      <c r="L29" s="258"/>
    </row>
    <row r="30" spans="1:12" ht="15.75" x14ac:dyDescent="0.25">
      <c r="A30" s="197"/>
      <c r="B30" s="246" t="str">
        <f>Totals!C35</f>
        <v>18</v>
      </c>
      <c r="C30" s="377" t="str">
        <f>Totals!D35</f>
        <v>Studio &amp; Outside Broadcasts</v>
      </c>
      <c r="D30" s="378"/>
      <c r="E30" s="235">
        <f>Totals!F35</f>
        <v>0</v>
      </c>
      <c r="F30" s="236">
        <f>Totals!G35</f>
        <v>0</v>
      </c>
      <c r="G30" s="247"/>
      <c r="H30" s="237"/>
      <c r="I30" s="247"/>
      <c r="J30" s="236">
        <f t="shared" si="0"/>
        <v>0</v>
      </c>
      <c r="K30" s="220"/>
      <c r="L30" s="258"/>
    </row>
    <row r="31" spans="1:12" ht="15.75" x14ac:dyDescent="0.25">
      <c r="A31" s="197"/>
      <c r="B31" s="246" t="str">
        <f>Totals!C36</f>
        <v>19</v>
      </c>
      <c r="C31" s="377" t="str">
        <f>Totals!D36</f>
        <v>Other Production Facilities</v>
      </c>
      <c r="D31" s="378"/>
      <c r="E31" s="235">
        <f>Totals!F36</f>
        <v>0</v>
      </c>
      <c r="F31" s="236">
        <f>Totals!G36</f>
        <v>0</v>
      </c>
      <c r="G31" s="247"/>
      <c r="H31" s="237"/>
      <c r="I31" s="247"/>
      <c r="J31" s="236">
        <f t="shared" si="0"/>
        <v>0</v>
      </c>
      <c r="K31" s="220"/>
      <c r="L31" s="258"/>
    </row>
    <row r="32" spans="1:12" ht="15.75" x14ac:dyDescent="0.25">
      <c r="A32" s="197"/>
      <c r="B32" s="246" t="str">
        <f>Totals!C37</f>
        <v>20</v>
      </c>
      <c r="C32" s="377" t="str">
        <f>Totals!D37</f>
        <v>Film/Tape Stock</v>
      </c>
      <c r="D32" s="378"/>
      <c r="E32" s="235">
        <f>Totals!F37</f>
        <v>0</v>
      </c>
      <c r="F32" s="236">
        <f>Totals!G37</f>
        <v>0</v>
      </c>
      <c r="G32" s="247"/>
      <c r="H32" s="237"/>
      <c r="I32" s="247"/>
      <c r="J32" s="236">
        <f t="shared" si="0"/>
        <v>0</v>
      </c>
      <c r="K32" s="220"/>
      <c r="L32" s="258"/>
    </row>
    <row r="33" spans="1:12" ht="15.75" x14ac:dyDescent="0.25">
      <c r="A33" s="197"/>
      <c r="B33" s="246" t="str">
        <f>Totals!C38</f>
        <v>21</v>
      </c>
      <c r="C33" s="377" t="str">
        <f>Totals!D38</f>
        <v>Animation Pre Production</v>
      </c>
      <c r="D33" s="378"/>
      <c r="E33" s="235">
        <f>Totals!F38</f>
        <v>0</v>
      </c>
      <c r="F33" s="236">
        <f>Totals!G38</f>
        <v>0</v>
      </c>
      <c r="G33" s="247"/>
      <c r="H33" s="237"/>
      <c r="I33" s="247"/>
      <c r="J33" s="236">
        <f t="shared" si="0"/>
        <v>0</v>
      </c>
      <c r="K33" s="220"/>
      <c r="L33" s="258"/>
    </row>
    <row r="34" spans="1:12" ht="15.75" x14ac:dyDescent="0.25">
      <c r="A34" s="197"/>
      <c r="B34" s="246" t="str">
        <f>Totals!C39</f>
        <v>22</v>
      </c>
      <c r="C34" s="377" t="str">
        <f>Totals!D39</f>
        <v>Post Production</v>
      </c>
      <c r="D34" s="378"/>
      <c r="E34" s="235">
        <f>Totals!F39</f>
        <v>0</v>
      </c>
      <c r="F34" s="236">
        <f>Totals!G39</f>
        <v>0</v>
      </c>
      <c r="G34" s="247"/>
      <c r="H34" s="237"/>
      <c r="I34" s="247"/>
      <c r="J34" s="236">
        <f t="shared" si="0"/>
        <v>0</v>
      </c>
      <c r="K34" s="220"/>
      <c r="L34" s="258"/>
    </row>
    <row r="35" spans="1:12" ht="15.75" x14ac:dyDescent="0.25">
      <c r="A35" s="197"/>
      <c r="B35" s="246" t="str">
        <f>Totals!C40</f>
        <v>23</v>
      </c>
      <c r="C35" s="377" t="str">
        <f>Totals!D40</f>
        <v>Library Film Archive</v>
      </c>
      <c r="D35" s="378"/>
      <c r="E35" s="235">
        <f>Totals!F40</f>
        <v>0</v>
      </c>
      <c r="F35" s="236">
        <f>Totals!G40</f>
        <v>0</v>
      </c>
      <c r="G35" s="247"/>
      <c r="H35" s="237"/>
      <c r="I35" s="247"/>
      <c r="J35" s="236">
        <f t="shared" si="0"/>
        <v>0</v>
      </c>
      <c r="K35" s="220"/>
      <c r="L35" s="258"/>
    </row>
    <row r="36" spans="1:12" ht="15.75" x14ac:dyDescent="0.25">
      <c r="A36" s="197"/>
      <c r="B36" s="246" t="str">
        <f>Totals!C41</f>
        <v>24</v>
      </c>
      <c r="C36" s="377" t="str">
        <f>Totals!D41</f>
        <v>Graphics</v>
      </c>
      <c r="D36" s="378"/>
      <c r="E36" s="235">
        <f>Totals!F41</f>
        <v>0</v>
      </c>
      <c r="F36" s="236">
        <f>Totals!G41</f>
        <v>0</v>
      </c>
      <c r="G36" s="247"/>
      <c r="H36" s="237"/>
      <c r="I36" s="247"/>
      <c r="J36" s="236">
        <f t="shared" si="0"/>
        <v>0</v>
      </c>
      <c r="K36" s="220"/>
      <c r="L36" s="258"/>
    </row>
    <row r="37" spans="1:12" ht="15.75" x14ac:dyDescent="0.25">
      <c r="A37" s="197"/>
      <c r="B37" s="246" t="str">
        <f>Totals!C42</f>
        <v>25</v>
      </c>
      <c r="C37" s="377" t="str">
        <f>Totals!D42</f>
        <v>Music</v>
      </c>
      <c r="D37" s="378"/>
      <c r="E37" s="235">
        <f>Totals!F42</f>
        <v>0</v>
      </c>
      <c r="F37" s="236">
        <f>Totals!G42</f>
        <v>0</v>
      </c>
      <c r="G37" s="247"/>
      <c r="H37" s="237"/>
      <c r="I37" s="247"/>
      <c r="J37" s="236">
        <f t="shared" si="0"/>
        <v>0</v>
      </c>
      <c r="K37" s="220"/>
      <c r="L37" s="258"/>
    </row>
    <row r="38" spans="1:12" ht="15.75" x14ac:dyDescent="0.25">
      <c r="A38" s="197"/>
      <c r="B38" s="246" t="str">
        <f>Totals!C43</f>
        <v>26</v>
      </c>
      <c r="C38" s="377" t="str">
        <f>Totals!D43</f>
        <v>Travel/Transport</v>
      </c>
      <c r="D38" s="378"/>
      <c r="E38" s="235">
        <f>Totals!F43</f>
        <v>0</v>
      </c>
      <c r="F38" s="236">
        <f>Totals!G43</f>
        <v>0</v>
      </c>
      <c r="G38" s="247"/>
      <c r="H38" s="237"/>
      <c r="I38" s="247"/>
      <c r="J38" s="236">
        <f t="shared" si="0"/>
        <v>0</v>
      </c>
      <c r="K38" s="220"/>
      <c r="L38" s="258"/>
    </row>
    <row r="39" spans="1:12" ht="15.75" x14ac:dyDescent="0.25">
      <c r="A39" s="197"/>
      <c r="B39" s="246" t="str">
        <f>Totals!C44</f>
        <v>27</v>
      </c>
      <c r="C39" s="377" t="str">
        <f>Totals!D44</f>
        <v>Hotel/Living</v>
      </c>
      <c r="D39" s="378"/>
      <c r="E39" s="235">
        <f>Totals!F44</f>
        <v>0</v>
      </c>
      <c r="F39" s="236">
        <f>Totals!G44</f>
        <v>0</v>
      </c>
      <c r="G39" s="247"/>
      <c r="H39" s="237"/>
      <c r="I39" s="247"/>
      <c r="J39" s="236">
        <f t="shared" si="0"/>
        <v>0</v>
      </c>
      <c r="K39" s="220"/>
      <c r="L39" s="258"/>
    </row>
    <row r="40" spans="1:12" ht="15.75" x14ac:dyDescent="0.25">
      <c r="A40" s="197"/>
      <c r="B40" s="246" t="str">
        <f>Totals!C45</f>
        <v>28</v>
      </c>
      <c r="C40" s="377" t="str">
        <f>Totals!D45</f>
        <v>Other Production Costs</v>
      </c>
      <c r="D40" s="378"/>
      <c r="E40" s="235">
        <f>Totals!F45</f>
        <v>0</v>
      </c>
      <c r="F40" s="236">
        <f>Totals!G45</f>
        <v>0</v>
      </c>
      <c r="G40" s="247"/>
      <c r="H40" s="237"/>
      <c r="I40" s="247"/>
      <c r="J40" s="236">
        <f t="shared" si="0"/>
        <v>0</v>
      </c>
      <c r="K40" s="220"/>
      <c r="L40" s="258"/>
    </row>
    <row r="41" spans="1:12" ht="15.75" x14ac:dyDescent="0.25">
      <c r="A41" s="197"/>
      <c r="B41" s="246" t="str">
        <f>Totals!C46</f>
        <v>29</v>
      </c>
      <c r="C41" s="377" t="str">
        <f>Totals!D46</f>
        <v>Finance/Legal</v>
      </c>
      <c r="D41" s="378"/>
      <c r="E41" s="235">
        <f>Totals!F46</f>
        <v>0</v>
      </c>
      <c r="F41" s="236">
        <f>Totals!G46</f>
        <v>0</v>
      </c>
      <c r="G41" s="247"/>
      <c r="H41" s="237"/>
      <c r="I41" s="247"/>
      <c r="J41" s="236">
        <f t="shared" si="0"/>
        <v>0</v>
      </c>
      <c r="K41" s="220"/>
      <c r="L41" s="258"/>
    </row>
    <row r="42" spans="1:12" ht="15.75" x14ac:dyDescent="0.25">
      <c r="A42" s="197"/>
      <c r="B42" s="246" t="str">
        <f>Totals!C47</f>
        <v>30</v>
      </c>
      <c r="C42" s="377" t="str">
        <f>Totals!D47</f>
        <v>Production Overheads</v>
      </c>
      <c r="D42" s="378"/>
      <c r="E42" s="235">
        <f>Totals!F47</f>
        <v>0</v>
      </c>
      <c r="F42" s="236">
        <f>Totals!G47</f>
        <v>0</v>
      </c>
      <c r="G42" s="248"/>
      <c r="H42" s="237"/>
      <c r="I42" s="249"/>
      <c r="J42" s="236">
        <f t="shared" si="0"/>
        <v>0</v>
      </c>
      <c r="K42" s="218"/>
      <c r="L42" s="258"/>
    </row>
    <row r="43" spans="1:12" ht="15.75" x14ac:dyDescent="0.25">
      <c r="A43" s="197"/>
      <c r="B43" s="246" t="str">
        <f>Totals!C48</f>
        <v>31</v>
      </c>
      <c r="C43" s="377" t="str">
        <f>Totals!D48</f>
        <v>Theatrical Performances</v>
      </c>
      <c r="D43" s="378"/>
      <c r="E43" s="235">
        <f>Totals!F48</f>
        <v>0</v>
      </c>
      <c r="F43" s="236">
        <f>Totals!G48</f>
        <v>0</v>
      </c>
      <c r="G43" s="248"/>
      <c r="H43" s="237"/>
      <c r="I43" s="249"/>
      <c r="J43" s="236">
        <f t="shared" si="0"/>
        <v>0</v>
      </c>
      <c r="K43" s="218"/>
      <c r="L43" s="258"/>
    </row>
    <row r="44" spans="1:12" ht="15.75" x14ac:dyDescent="0.25">
      <c r="A44" s="197"/>
      <c r="B44" s="246" t="str">
        <f>Totals!C49</f>
        <v>32</v>
      </c>
      <c r="C44" s="377" t="str">
        <f>Totals!D49</f>
        <v>Contingency</v>
      </c>
      <c r="D44" s="378"/>
      <c r="E44" s="235">
        <f>Totals!F49</f>
        <v>0</v>
      </c>
      <c r="F44" s="236">
        <f>Totals!G49</f>
        <v>0</v>
      </c>
      <c r="G44" s="250"/>
      <c r="H44" s="238"/>
      <c r="I44" s="251"/>
      <c r="J44" s="236">
        <f t="shared" si="0"/>
        <v>0</v>
      </c>
      <c r="K44" s="227"/>
      <c r="L44" s="260"/>
    </row>
    <row r="45" spans="1:12" ht="18.75" x14ac:dyDescent="0.3">
      <c r="A45" s="197"/>
      <c r="B45" s="201"/>
      <c r="C45" s="239" t="s">
        <v>990</v>
      </c>
      <c r="D45" s="240"/>
      <c r="E45" s="252">
        <f>SUM(E13:E44)</f>
        <v>0</v>
      </c>
      <c r="F45" s="253">
        <f>SUM(F13:F44)</f>
        <v>0</v>
      </c>
      <c r="G45" s="254"/>
      <c r="H45" s="255">
        <f>SUM(H13:H44)</f>
        <v>0</v>
      </c>
      <c r="I45" s="256"/>
      <c r="J45" s="255">
        <f>SUM(J13:J44)</f>
        <v>0</v>
      </c>
      <c r="K45" s="241"/>
      <c r="L45" s="242"/>
    </row>
    <row r="46" spans="1:12" ht="14.25" thickBot="1" x14ac:dyDescent="0.3">
      <c r="A46" s="197"/>
      <c r="B46" s="243"/>
      <c r="C46" s="244"/>
      <c r="D46" s="244"/>
      <c r="E46" s="244"/>
      <c r="F46" s="244"/>
      <c r="G46" s="244"/>
      <c r="H46" s="244"/>
      <c r="I46" s="244"/>
      <c r="J46" s="244"/>
      <c r="K46" s="244"/>
      <c r="L46" s="245"/>
    </row>
    <row r="47" spans="1:12" ht="13.5" x14ac:dyDescent="0.25">
      <c r="A47" s="263"/>
      <c r="B47" s="264"/>
      <c r="C47" s="265"/>
      <c r="D47" s="265"/>
      <c r="E47" s="265"/>
      <c r="F47" s="265"/>
      <c r="G47" s="265"/>
      <c r="H47" s="265"/>
      <c r="I47" s="265"/>
      <c r="J47" s="265"/>
      <c r="K47" s="265"/>
      <c r="L47" s="265"/>
    </row>
    <row r="48" spans="1:12" ht="13.5" x14ac:dyDescent="0.25">
      <c r="A48" s="263"/>
      <c r="B48" s="264"/>
      <c r="C48" s="266"/>
      <c r="D48" s="265"/>
      <c r="E48" s="265"/>
      <c r="F48" s="267"/>
      <c r="G48" s="265"/>
      <c r="H48" s="265"/>
      <c r="I48" s="266"/>
      <c r="J48" s="265"/>
      <c r="K48" s="265"/>
      <c r="L48" s="268"/>
    </row>
  </sheetData>
  <sheetProtection sheet="1" objects="1" scenarios="1" formatCells="0" formatColumns="0" formatRows="0"/>
  <mergeCells count="40">
    <mergeCell ref="C10:D10"/>
    <mergeCell ref="C11:D11"/>
    <mergeCell ref="D2:H2"/>
    <mergeCell ref="D3:H3"/>
    <mergeCell ref="D6:J6"/>
    <mergeCell ref="D7:J7"/>
    <mergeCell ref="C9:D9"/>
    <mergeCell ref="E9:F9"/>
    <mergeCell ref="C30:D30"/>
    <mergeCell ref="C31:D31"/>
    <mergeCell ref="C32:D32"/>
    <mergeCell ref="C13:D13"/>
    <mergeCell ref="C14:D14"/>
    <mergeCell ref="C27:D27"/>
    <mergeCell ref="C28:D28"/>
    <mergeCell ref="C17:D17"/>
    <mergeCell ref="C18:D18"/>
    <mergeCell ref="C19:D19"/>
    <mergeCell ref="C20:D20"/>
    <mergeCell ref="C21:D21"/>
    <mergeCell ref="C22:D22"/>
    <mergeCell ref="C15:D15"/>
    <mergeCell ref="C16:D16"/>
    <mergeCell ref="C23:D23"/>
    <mergeCell ref="C24:D24"/>
    <mergeCell ref="C25:D25"/>
    <mergeCell ref="C26:D26"/>
    <mergeCell ref="C29:D29"/>
    <mergeCell ref="C33:D33"/>
    <mergeCell ref="C34:D34"/>
    <mergeCell ref="C43:D43"/>
    <mergeCell ref="C44:D44"/>
    <mergeCell ref="C37:D37"/>
    <mergeCell ref="C38:D38"/>
    <mergeCell ref="C41:D41"/>
    <mergeCell ref="C42:D42"/>
    <mergeCell ref="C39:D39"/>
    <mergeCell ref="C40:D40"/>
    <mergeCell ref="C35:D35"/>
    <mergeCell ref="C36:D36"/>
  </mergeCells>
  <phoneticPr fontId="7" type="noConversion"/>
  <conditionalFormatting sqref="D6:J7">
    <cfRule type="cellIs" dxfId="1" priority="1" stopIfTrue="1" operator="equal">
      <formula>0</formula>
    </cfRule>
  </conditionalFormatting>
  <conditionalFormatting sqref="H12:H44">
    <cfRule type="expression" dxfId="0" priority="2" stopIfTrue="1">
      <formula>IF($H$45=0,TRUE,FALSE)</formula>
    </cfRule>
  </conditionalFormatting>
  <hyperlinks>
    <hyperlink ref="L2" location="Totals!E8" display="Back to Totals Page"/>
  </hyperlinks>
  <pageMargins left="0.75" right="0.75" top="1" bottom="1" header="0.5" footer="0.5"/>
  <pageSetup paperSize="9" scale="6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L39"/>
  <sheetViews>
    <sheetView showGridLines="0" workbookViewId="0">
      <pane xSplit="1" ySplit="9" topLeftCell="K10" activePane="bottomRight" state="frozen"/>
      <selection pane="topRight" activeCell="B1" sqref="B1"/>
      <selection pane="bottomLeft" activeCell="A10" sqref="A10"/>
      <selection pane="bottomRight" activeCell="P33" sqref="P33"/>
    </sheetView>
  </sheetViews>
  <sheetFormatPr defaultRowHeight="12.75" x14ac:dyDescent="0.2"/>
  <cols>
    <col min="1" max="1" width="20.7109375" style="163" customWidth="1"/>
    <col min="2" max="36" width="7.28515625" style="163" customWidth="1"/>
    <col min="37" max="16384" width="9.140625" style="163"/>
  </cols>
  <sheetData>
    <row r="1" spans="1:38" x14ac:dyDescent="0.2">
      <c r="A1" s="46" t="str">
        <f>Totals!E3</f>
        <v>ITV STUDIOS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</row>
    <row r="2" spans="1:38" x14ac:dyDescent="0.2">
      <c r="A2" s="367" t="str">
        <f>Totals!E4</f>
        <v>FACTUAL / ENTERTAINMENT</v>
      </c>
      <c r="B2" s="367"/>
      <c r="C2" s="367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</row>
    <row r="3" spans="1:38" x14ac:dyDescent="0.2">
      <c r="A3" s="277" t="s">
        <v>993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</row>
    <row r="4" spans="1:38" x14ac:dyDescent="0.2">
      <c r="A4" s="46">
        <f>Name</f>
        <v>0</v>
      </c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  <c r="AA4" s="45"/>
    </row>
    <row r="5" spans="1:38" x14ac:dyDescent="0.2">
      <c r="A5" s="46">
        <f>Number</f>
        <v>0</v>
      </c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</row>
    <row r="6" spans="1:38" x14ac:dyDescent="0.2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</row>
    <row r="7" spans="1:38" x14ac:dyDescent="0.2">
      <c r="A7" s="278" t="s">
        <v>991</v>
      </c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</row>
    <row r="8" spans="1:38" x14ac:dyDescent="0.2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</row>
    <row r="9" spans="1:38" x14ac:dyDescent="0.2">
      <c r="A9" s="269" t="s">
        <v>992</v>
      </c>
      <c r="B9" s="270">
        <v>1</v>
      </c>
      <c r="C9" s="271">
        <f>B9+1</f>
        <v>2</v>
      </c>
      <c r="D9" s="271">
        <f t="shared" ref="D9:Y9" si="0">C9+1</f>
        <v>3</v>
      </c>
      <c r="E9" s="271">
        <f t="shared" si="0"/>
        <v>4</v>
      </c>
      <c r="F9" s="271">
        <f t="shared" si="0"/>
        <v>5</v>
      </c>
      <c r="G9" s="271">
        <f t="shared" si="0"/>
        <v>6</v>
      </c>
      <c r="H9" s="271">
        <f t="shared" si="0"/>
        <v>7</v>
      </c>
      <c r="I9" s="271">
        <f t="shared" si="0"/>
        <v>8</v>
      </c>
      <c r="J9" s="271">
        <f t="shared" si="0"/>
        <v>9</v>
      </c>
      <c r="K9" s="271">
        <v>1</v>
      </c>
      <c r="L9" s="271">
        <f t="shared" si="0"/>
        <v>2</v>
      </c>
      <c r="M9" s="271">
        <f t="shared" si="0"/>
        <v>3</v>
      </c>
      <c r="N9" s="271">
        <f t="shared" si="0"/>
        <v>4</v>
      </c>
      <c r="O9" s="271">
        <f t="shared" si="0"/>
        <v>5</v>
      </c>
      <c r="P9" s="271">
        <f t="shared" si="0"/>
        <v>6</v>
      </c>
      <c r="Q9" s="271">
        <f t="shared" si="0"/>
        <v>7</v>
      </c>
      <c r="R9" s="271">
        <f t="shared" si="0"/>
        <v>8</v>
      </c>
      <c r="S9" s="271">
        <f t="shared" si="0"/>
        <v>9</v>
      </c>
      <c r="T9" s="271">
        <f t="shared" si="0"/>
        <v>10</v>
      </c>
      <c r="U9" s="271">
        <f t="shared" si="0"/>
        <v>11</v>
      </c>
      <c r="V9" s="271">
        <f t="shared" si="0"/>
        <v>12</v>
      </c>
      <c r="W9" s="271">
        <f t="shared" si="0"/>
        <v>13</v>
      </c>
      <c r="X9" s="271">
        <f t="shared" si="0"/>
        <v>14</v>
      </c>
      <c r="Y9" s="271">
        <f t="shared" si="0"/>
        <v>15</v>
      </c>
      <c r="Z9" s="271">
        <f t="shared" ref="Z9:AJ9" si="1">Y9+1</f>
        <v>16</v>
      </c>
      <c r="AA9" s="271">
        <f t="shared" si="1"/>
        <v>17</v>
      </c>
      <c r="AB9" s="271">
        <f t="shared" si="1"/>
        <v>18</v>
      </c>
      <c r="AC9" s="271">
        <f t="shared" si="1"/>
        <v>19</v>
      </c>
      <c r="AD9" s="271">
        <f t="shared" si="1"/>
        <v>20</v>
      </c>
      <c r="AE9" s="271">
        <f t="shared" si="1"/>
        <v>21</v>
      </c>
      <c r="AF9" s="271">
        <f t="shared" si="1"/>
        <v>22</v>
      </c>
      <c r="AG9" s="271">
        <f t="shared" si="1"/>
        <v>23</v>
      </c>
      <c r="AH9" s="271">
        <f t="shared" si="1"/>
        <v>24</v>
      </c>
      <c r="AI9" s="271">
        <f t="shared" si="1"/>
        <v>25</v>
      </c>
      <c r="AJ9" s="271">
        <f t="shared" si="1"/>
        <v>26</v>
      </c>
    </row>
    <row r="10" spans="1:38" s="322" customFormat="1" x14ac:dyDescent="0.2">
      <c r="A10" s="321" t="s">
        <v>1005</v>
      </c>
      <c r="B10" s="321"/>
      <c r="C10" s="321"/>
      <c r="D10" s="321"/>
      <c r="E10" s="321"/>
      <c r="F10" s="321"/>
      <c r="G10" s="321"/>
      <c r="H10" s="321"/>
      <c r="I10" s="321"/>
      <c r="J10" s="321"/>
      <c r="K10" s="321"/>
      <c r="L10" s="321"/>
      <c r="M10" s="321"/>
      <c r="N10" s="321"/>
      <c r="O10" s="321"/>
      <c r="P10" s="321"/>
      <c r="Q10" s="321"/>
      <c r="R10" s="321"/>
      <c r="S10" s="321"/>
      <c r="T10" s="321"/>
      <c r="U10" s="321"/>
      <c r="V10" s="321"/>
      <c r="W10" s="321"/>
      <c r="X10" s="321"/>
      <c r="Y10" s="321"/>
      <c r="Z10" s="321"/>
      <c r="AA10" s="321"/>
      <c r="AB10" s="321"/>
      <c r="AC10" s="321"/>
      <c r="AD10" s="321"/>
      <c r="AE10" s="321"/>
      <c r="AF10" s="321"/>
      <c r="AG10" s="321"/>
      <c r="AH10" s="321"/>
      <c r="AI10" s="321"/>
      <c r="AJ10" s="269"/>
    </row>
    <row r="11" spans="1:38" s="126" customFormat="1" x14ac:dyDescent="0.2">
      <c r="A11" s="272" t="s">
        <v>88</v>
      </c>
      <c r="B11" s="272"/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136"/>
    </row>
    <row r="12" spans="1:38" s="126" customFormat="1" x14ac:dyDescent="0.2">
      <c r="A12" s="272" t="s">
        <v>1006</v>
      </c>
      <c r="B12" s="272"/>
      <c r="C12" s="272"/>
      <c r="D12" s="272"/>
      <c r="E12" s="272"/>
      <c r="F12" s="272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272"/>
      <c r="AJ12" s="136"/>
    </row>
    <row r="13" spans="1:38" s="126" customFormat="1" x14ac:dyDescent="0.2">
      <c r="A13" s="272" t="s">
        <v>1007</v>
      </c>
      <c r="B13" s="272"/>
      <c r="C13" s="272"/>
      <c r="D13" s="272"/>
      <c r="E13" s="272"/>
      <c r="F13" s="272"/>
      <c r="G13" s="272"/>
      <c r="H13" s="272"/>
      <c r="I13" s="272"/>
      <c r="J13" s="272"/>
      <c r="K13" s="272"/>
      <c r="L13" s="272"/>
      <c r="M13" s="272"/>
      <c r="N13" s="272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  <c r="AF13" s="272"/>
      <c r="AG13" s="272"/>
      <c r="AH13" s="272"/>
      <c r="AI13" s="272"/>
      <c r="AJ13" s="136"/>
    </row>
    <row r="14" spans="1:38" s="126" customFormat="1" x14ac:dyDescent="0.2">
      <c r="A14" s="272" t="s">
        <v>1008</v>
      </c>
      <c r="B14" s="272"/>
      <c r="C14" s="272"/>
      <c r="D14" s="272"/>
      <c r="E14" s="272"/>
      <c r="F14" s="272"/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272"/>
      <c r="AJ14" s="136"/>
    </row>
    <row r="15" spans="1:38" s="126" customFormat="1" x14ac:dyDescent="0.2">
      <c r="A15" s="272" t="s">
        <v>1009</v>
      </c>
      <c r="B15" s="272"/>
      <c r="C15" s="272"/>
      <c r="D15" s="272"/>
      <c r="E15" s="272"/>
      <c r="F15" s="272"/>
      <c r="G15" s="272"/>
      <c r="H15" s="272"/>
      <c r="I15" s="272"/>
      <c r="J15" s="272"/>
      <c r="K15" s="272"/>
      <c r="L15" s="272"/>
      <c r="M15" s="272"/>
      <c r="N15" s="272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  <c r="AF15" s="272"/>
      <c r="AG15" s="272"/>
      <c r="AH15" s="272"/>
      <c r="AI15" s="272"/>
      <c r="AJ15" s="136"/>
    </row>
    <row r="16" spans="1:38" s="126" customFormat="1" x14ac:dyDescent="0.2">
      <c r="A16" s="272" t="s">
        <v>1004</v>
      </c>
      <c r="B16" s="272"/>
      <c r="C16" s="272"/>
      <c r="D16" s="272"/>
      <c r="E16" s="272"/>
      <c r="F16" s="272"/>
      <c r="G16" s="272"/>
      <c r="H16" s="272"/>
      <c r="I16" s="272"/>
      <c r="J16" s="272"/>
      <c r="K16" s="272"/>
      <c r="L16" s="272"/>
      <c r="M16" s="272"/>
      <c r="N16" s="272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  <c r="AF16" s="272"/>
      <c r="AG16" s="272"/>
      <c r="AH16" s="272"/>
      <c r="AI16" s="272"/>
      <c r="AJ16" s="136"/>
      <c r="AK16" s="319"/>
      <c r="AL16" s="275"/>
    </row>
    <row r="17" spans="1:38" s="126" customFormat="1" x14ac:dyDescent="0.2">
      <c r="A17" s="272"/>
      <c r="B17" s="272"/>
      <c r="C17" s="272"/>
      <c r="D17" s="272"/>
      <c r="E17" s="272"/>
      <c r="F17" s="272"/>
      <c r="G17" s="272"/>
      <c r="H17" s="272"/>
      <c r="I17" s="272"/>
      <c r="J17" s="272"/>
      <c r="K17" s="272"/>
      <c r="L17" s="272"/>
      <c r="M17" s="272"/>
      <c r="N17" s="272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  <c r="AF17" s="272"/>
      <c r="AG17" s="272"/>
      <c r="AH17" s="272"/>
      <c r="AI17" s="272"/>
      <c r="AJ17" s="136"/>
      <c r="AK17" s="319"/>
      <c r="AL17" s="275"/>
    </row>
    <row r="18" spans="1:38" s="126" customFormat="1" x14ac:dyDescent="0.2">
      <c r="A18" s="272"/>
      <c r="B18" s="272"/>
      <c r="C18" s="272"/>
      <c r="D18" s="272"/>
      <c r="E18" s="272"/>
      <c r="F18" s="272"/>
      <c r="G18" s="272"/>
      <c r="H18" s="272"/>
      <c r="I18" s="272"/>
      <c r="J18" s="272"/>
      <c r="K18" s="272"/>
      <c r="L18" s="272"/>
      <c r="M18" s="272"/>
      <c r="N18" s="272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  <c r="AF18" s="272"/>
      <c r="AG18" s="272"/>
      <c r="AH18" s="272"/>
      <c r="AI18" s="272"/>
      <c r="AJ18" s="136"/>
    </row>
    <row r="19" spans="1:38" s="126" customFormat="1" x14ac:dyDescent="0.2">
      <c r="A19" s="272"/>
      <c r="B19" s="272"/>
      <c r="C19" s="272"/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  <c r="AF19" s="272"/>
      <c r="AG19" s="272"/>
      <c r="AH19" s="272"/>
      <c r="AI19" s="272"/>
      <c r="AJ19" s="136"/>
    </row>
    <row r="20" spans="1:38" s="126" customFormat="1" x14ac:dyDescent="0.2">
      <c r="A20" s="272"/>
      <c r="B20" s="272"/>
      <c r="C20" s="272"/>
      <c r="D20" s="272"/>
      <c r="E20" s="272"/>
      <c r="F20" s="272"/>
      <c r="G20" s="272"/>
      <c r="H20" s="272"/>
      <c r="I20" s="272"/>
      <c r="J20" s="272"/>
      <c r="K20" s="272"/>
      <c r="L20" s="272"/>
      <c r="M20" s="272"/>
      <c r="N20" s="272"/>
      <c r="O20" s="272"/>
      <c r="P20" s="272"/>
      <c r="Q20" s="272"/>
      <c r="R20" s="272"/>
      <c r="S20" s="272"/>
      <c r="T20" s="272"/>
      <c r="U20" s="272"/>
      <c r="V20" s="272"/>
      <c r="W20" s="272"/>
      <c r="X20" s="272"/>
      <c r="Y20" s="272"/>
      <c r="Z20" s="272"/>
      <c r="AA20" s="272"/>
      <c r="AB20" s="272"/>
      <c r="AC20" s="272"/>
      <c r="AD20" s="272"/>
      <c r="AE20" s="272"/>
      <c r="AF20" s="272"/>
      <c r="AG20" s="272"/>
      <c r="AH20" s="272"/>
      <c r="AI20" s="272"/>
      <c r="AJ20" s="136"/>
    </row>
    <row r="21" spans="1:38" s="126" customFormat="1" x14ac:dyDescent="0.2">
      <c r="A21" s="272"/>
      <c r="B21" s="272"/>
      <c r="C21" s="272"/>
      <c r="D21" s="272"/>
      <c r="E21" s="272"/>
      <c r="F21" s="272"/>
      <c r="G21" s="272"/>
      <c r="H21" s="272"/>
      <c r="I21" s="272"/>
      <c r="J21" s="272"/>
      <c r="K21" s="272"/>
      <c r="L21" s="272"/>
      <c r="M21" s="272"/>
      <c r="N21" s="272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  <c r="AF21" s="272"/>
      <c r="AG21" s="272"/>
      <c r="AH21" s="272"/>
      <c r="AI21" s="272"/>
      <c r="AJ21" s="136"/>
    </row>
    <row r="22" spans="1:38" s="126" customFormat="1" x14ac:dyDescent="0.2">
      <c r="A22" s="272"/>
      <c r="B22" s="272"/>
      <c r="C22" s="272"/>
      <c r="D22" s="272"/>
      <c r="E22" s="272"/>
      <c r="F22" s="272"/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272"/>
      <c r="AJ22" s="136"/>
    </row>
    <row r="23" spans="1:38" s="126" customFormat="1" x14ac:dyDescent="0.2">
      <c r="A23" s="272"/>
      <c r="B23" s="272"/>
      <c r="C23" s="272"/>
      <c r="D23" s="272"/>
      <c r="E23" s="272"/>
      <c r="F23" s="272"/>
      <c r="G23" s="272"/>
      <c r="H23" s="272"/>
      <c r="I23" s="272"/>
      <c r="J23" s="272"/>
      <c r="K23" s="272"/>
      <c r="L23" s="272"/>
      <c r="M23" s="272"/>
      <c r="N23" s="272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  <c r="AF23" s="272"/>
      <c r="AG23" s="272"/>
      <c r="AH23" s="272"/>
      <c r="AI23" s="272"/>
      <c r="AJ23" s="136"/>
    </row>
    <row r="24" spans="1:38" s="126" customFormat="1" x14ac:dyDescent="0.2">
      <c r="A24" s="272"/>
      <c r="B24" s="272"/>
      <c r="C24" s="272"/>
      <c r="D24" s="272"/>
      <c r="E24" s="272"/>
      <c r="F24" s="272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272"/>
      <c r="AJ24" s="136"/>
    </row>
    <row r="25" spans="1:38" x14ac:dyDescent="0.2">
      <c r="A25" s="314"/>
      <c r="B25" s="315"/>
      <c r="C25" s="315"/>
      <c r="D25" s="315"/>
      <c r="E25" s="315"/>
      <c r="F25" s="315"/>
      <c r="G25" s="315"/>
      <c r="H25" s="315"/>
      <c r="I25" s="315"/>
      <c r="J25" s="315"/>
      <c r="K25" s="315"/>
      <c r="L25" s="315"/>
      <c r="M25" s="315"/>
      <c r="N25" s="315"/>
      <c r="O25" s="315"/>
      <c r="P25" s="315"/>
      <c r="Q25" s="315"/>
      <c r="R25" s="315"/>
      <c r="S25" s="315"/>
      <c r="T25" s="315"/>
      <c r="U25" s="315"/>
      <c r="V25" s="315"/>
      <c r="W25" s="315"/>
      <c r="X25" s="315"/>
      <c r="Y25" s="315"/>
      <c r="Z25" s="315"/>
      <c r="AA25" s="315"/>
      <c r="AB25" s="315"/>
      <c r="AC25" s="315"/>
      <c r="AD25" s="315"/>
      <c r="AE25" s="315"/>
      <c r="AF25" s="315"/>
      <c r="AG25" s="315"/>
      <c r="AH25" s="315"/>
      <c r="AI25" s="315"/>
      <c r="AJ25" s="320"/>
    </row>
    <row r="26" spans="1:38" x14ac:dyDescent="0.2">
      <c r="A26" s="272" t="s">
        <v>123</v>
      </c>
      <c r="B26" s="275"/>
      <c r="C26" s="275"/>
      <c r="D26" s="275"/>
      <c r="E26" s="275"/>
      <c r="F26" s="275"/>
      <c r="G26" s="275"/>
      <c r="H26" s="275"/>
      <c r="I26" s="275"/>
      <c r="J26" s="275"/>
      <c r="K26" s="324"/>
      <c r="L26" s="323"/>
      <c r="M26" s="323"/>
      <c r="N26" s="323"/>
      <c r="O26" s="323"/>
      <c r="P26" s="323"/>
      <c r="Q26" s="323"/>
      <c r="R26" s="323"/>
      <c r="S26" s="323"/>
      <c r="T26" s="275"/>
      <c r="U26" s="275"/>
      <c r="V26" s="275"/>
      <c r="W26" s="275"/>
      <c r="X26" s="275"/>
      <c r="Y26" s="275"/>
      <c r="Z26" s="275"/>
      <c r="AA26" s="275"/>
      <c r="AB26" s="316"/>
      <c r="AC26" s="317"/>
      <c r="AD26" s="317"/>
      <c r="AE26" s="317"/>
      <c r="AF26" s="317"/>
      <c r="AG26" s="317"/>
      <c r="AH26" s="317"/>
      <c r="AI26" s="317"/>
      <c r="AJ26" s="136"/>
    </row>
    <row r="27" spans="1:38" x14ac:dyDescent="0.2">
      <c r="A27" s="272" t="s">
        <v>1016</v>
      </c>
      <c r="B27" s="275"/>
      <c r="C27" s="275"/>
      <c r="D27" s="275"/>
      <c r="E27" s="275"/>
      <c r="F27" s="275"/>
      <c r="G27" s="275"/>
      <c r="H27" s="275"/>
      <c r="I27" s="275"/>
      <c r="J27" s="275"/>
      <c r="K27" s="324"/>
      <c r="L27" s="323"/>
      <c r="M27" s="323"/>
      <c r="N27" s="323"/>
      <c r="O27" s="323"/>
      <c r="P27" s="323"/>
      <c r="Q27" s="323"/>
      <c r="R27" s="323"/>
      <c r="S27" s="323"/>
      <c r="T27" s="275"/>
      <c r="U27" s="275"/>
      <c r="V27" s="275"/>
      <c r="W27" s="275"/>
      <c r="X27" s="275"/>
      <c r="Y27" s="275"/>
      <c r="Z27" s="275"/>
      <c r="AA27" s="275"/>
      <c r="AB27" s="318"/>
      <c r="AC27" s="136"/>
      <c r="AD27" s="136"/>
      <c r="AE27" s="136"/>
      <c r="AF27" s="136"/>
      <c r="AG27" s="136"/>
      <c r="AH27" s="136"/>
      <c r="AI27" s="136"/>
      <c r="AJ27" s="136"/>
    </row>
    <row r="28" spans="1:38" x14ac:dyDescent="0.2">
      <c r="A28" s="272" t="s">
        <v>1015</v>
      </c>
      <c r="B28" s="275"/>
      <c r="C28" s="275"/>
      <c r="D28" s="275"/>
      <c r="E28" s="275"/>
      <c r="F28" s="275"/>
      <c r="G28" s="275"/>
      <c r="H28" s="275"/>
      <c r="I28" s="275"/>
      <c r="J28" s="275"/>
      <c r="K28" s="324"/>
      <c r="L28" s="324"/>
      <c r="M28" s="324"/>
      <c r="N28" s="324"/>
      <c r="O28" s="324"/>
      <c r="P28" s="324"/>
      <c r="Q28" s="324"/>
      <c r="R28" s="324"/>
      <c r="S28" s="323"/>
      <c r="T28" s="275"/>
      <c r="U28" s="275"/>
      <c r="V28" s="275"/>
      <c r="W28" s="275"/>
      <c r="X28" s="275"/>
      <c r="Y28" s="275"/>
      <c r="Z28" s="275"/>
      <c r="AA28" s="275"/>
      <c r="AB28" s="318"/>
      <c r="AC28" s="136"/>
      <c r="AD28" s="136"/>
      <c r="AE28" s="136"/>
      <c r="AF28" s="136"/>
      <c r="AG28" s="136"/>
      <c r="AH28" s="136"/>
      <c r="AI28" s="136"/>
      <c r="AJ28" s="136"/>
    </row>
    <row r="29" spans="1:38" x14ac:dyDescent="0.2">
      <c r="A29" s="272" t="s">
        <v>1010</v>
      </c>
      <c r="B29" s="275"/>
      <c r="C29" s="275"/>
      <c r="D29" s="275"/>
      <c r="E29" s="275"/>
      <c r="F29" s="275"/>
      <c r="G29" s="275"/>
      <c r="H29" s="275"/>
      <c r="I29" s="275"/>
      <c r="J29" s="275"/>
      <c r="K29" s="324"/>
      <c r="L29" s="323"/>
      <c r="M29" s="323"/>
      <c r="N29" s="323"/>
      <c r="O29" s="323"/>
      <c r="P29" s="323"/>
      <c r="Q29" s="323"/>
      <c r="R29" s="323"/>
      <c r="S29" s="323"/>
      <c r="T29" s="275"/>
      <c r="U29" s="275"/>
      <c r="V29" s="275"/>
      <c r="W29" s="275"/>
      <c r="X29" s="275"/>
      <c r="Y29" s="275"/>
      <c r="Z29" s="275"/>
      <c r="AA29" s="275"/>
      <c r="AB29" s="318"/>
      <c r="AC29" s="136"/>
      <c r="AD29" s="136"/>
      <c r="AE29" s="136"/>
      <c r="AF29" s="136"/>
      <c r="AG29" s="136"/>
      <c r="AH29" s="136"/>
      <c r="AI29" s="136"/>
      <c r="AJ29" s="136"/>
    </row>
    <row r="30" spans="1:38" x14ac:dyDescent="0.2">
      <c r="A30" s="272" t="s">
        <v>221</v>
      </c>
      <c r="B30" s="275"/>
      <c r="C30" s="275"/>
      <c r="D30" s="275"/>
      <c r="E30" s="275"/>
      <c r="F30" s="275"/>
      <c r="G30" s="275"/>
      <c r="H30" s="275"/>
      <c r="I30" s="275"/>
      <c r="J30" s="275"/>
      <c r="K30" s="324"/>
      <c r="L30" s="323"/>
      <c r="M30" s="323"/>
      <c r="N30" s="323"/>
      <c r="O30" s="323"/>
      <c r="P30" s="323"/>
      <c r="Q30" s="323"/>
      <c r="R30" s="323"/>
      <c r="S30" s="323"/>
      <c r="T30" s="275"/>
      <c r="U30" s="275"/>
      <c r="V30" s="275"/>
      <c r="W30" s="275"/>
      <c r="X30" s="275"/>
      <c r="Y30" s="275"/>
      <c r="Z30" s="275"/>
      <c r="AA30" s="275"/>
      <c r="AB30" s="318"/>
      <c r="AC30" s="136"/>
      <c r="AD30" s="136"/>
      <c r="AE30" s="136"/>
      <c r="AF30" s="136"/>
      <c r="AG30" s="136"/>
      <c r="AH30" s="136"/>
      <c r="AI30" s="136"/>
      <c r="AJ30" s="136"/>
    </row>
    <row r="31" spans="1:38" x14ac:dyDescent="0.2">
      <c r="A31" s="272" t="s">
        <v>1011</v>
      </c>
      <c r="B31" s="275"/>
      <c r="C31" s="275"/>
      <c r="D31" s="275"/>
      <c r="E31" s="275"/>
      <c r="F31" s="275"/>
      <c r="G31" s="275"/>
      <c r="H31" s="275"/>
      <c r="I31" s="275"/>
      <c r="J31" s="275"/>
      <c r="K31" s="324"/>
      <c r="L31" s="323"/>
      <c r="M31" s="323"/>
      <c r="N31" s="323"/>
      <c r="O31" s="323"/>
      <c r="P31" s="323"/>
      <c r="Q31" s="323"/>
      <c r="R31" s="323"/>
      <c r="S31" s="323"/>
      <c r="T31" s="275"/>
      <c r="U31" s="275"/>
      <c r="V31" s="275"/>
      <c r="W31" s="275"/>
      <c r="X31" s="275"/>
      <c r="Y31" s="275"/>
      <c r="Z31" s="275"/>
      <c r="AA31" s="275"/>
      <c r="AB31" s="318"/>
      <c r="AC31" s="136"/>
      <c r="AD31" s="136"/>
      <c r="AE31" s="136"/>
      <c r="AF31" s="136"/>
      <c r="AG31" s="136"/>
      <c r="AH31" s="136"/>
      <c r="AI31" s="136"/>
      <c r="AJ31" s="136"/>
    </row>
    <row r="32" spans="1:38" x14ac:dyDescent="0.2">
      <c r="A32" s="272" t="s">
        <v>1017</v>
      </c>
      <c r="B32" s="275"/>
      <c r="C32" s="275"/>
      <c r="D32" s="275"/>
      <c r="E32" s="275"/>
      <c r="F32" s="275"/>
      <c r="G32" s="275"/>
      <c r="H32" s="275"/>
      <c r="I32" s="275"/>
      <c r="J32" s="275"/>
      <c r="K32" s="323"/>
      <c r="L32" s="323"/>
      <c r="M32" s="323"/>
      <c r="N32" s="323"/>
      <c r="O32" s="323"/>
      <c r="P32" s="323"/>
      <c r="Q32" s="323"/>
      <c r="R32" s="323"/>
      <c r="S32" s="323"/>
      <c r="T32" s="275"/>
      <c r="U32" s="275"/>
      <c r="V32" s="275"/>
      <c r="W32" s="275"/>
      <c r="X32" s="275"/>
      <c r="Y32" s="275"/>
      <c r="Z32" s="275"/>
      <c r="AA32" s="275"/>
      <c r="AB32" s="318"/>
      <c r="AC32" s="136"/>
      <c r="AD32" s="136"/>
      <c r="AE32" s="136"/>
      <c r="AF32" s="136"/>
      <c r="AG32" s="136"/>
      <c r="AH32" s="136"/>
      <c r="AI32" s="136"/>
      <c r="AJ32" s="136"/>
    </row>
    <row r="33" spans="1:36" x14ac:dyDescent="0.2">
      <c r="A33" s="272" t="s">
        <v>209</v>
      </c>
      <c r="B33" s="275"/>
      <c r="C33" s="275"/>
      <c r="D33" s="275"/>
      <c r="E33" s="275"/>
      <c r="F33" s="275"/>
      <c r="G33" s="275"/>
      <c r="H33" s="275"/>
      <c r="I33" s="275"/>
      <c r="J33" s="275"/>
      <c r="K33" s="323"/>
      <c r="L33" s="323"/>
      <c r="M33" s="323"/>
      <c r="N33" s="323"/>
      <c r="O33" s="323"/>
      <c r="P33" s="323"/>
      <c r="Q33" s="323"/>
      <c r="R33" s="323"/>
      <c r="S33" s="323"/>
      <c r="T33" s="275"/>
      <c r="U33" s="275"/>
      <c r="V33" s="275"/>
      <c r="W33" s="275"/>
      <c r="X33" s="275"/>
      <c r="Y33" s="275"/>
      <c r="Z33" s="275"/>
      <c r="AA33" s="275"/>
      <c r="AB33" s="318"/>
      <c r="AC33" s="136"/>
      <c r="AD33" s="136"/>
      <c r="AE33" s="136"/>
      <c r="AF33" s="136"/>
      <c r="AG33" s="136"/>
      <c r="AH33" s="136"/>
      <c r="AI33" s="136"/>
      <c r="AJ33" s="136"/>
    </row>
    <row r="34" spans="1:36" x14ac:dyDescent="0.2">
      <c r="A34" s="272" t="s">
        <v>197</v>
      </c>
      <c r="B34" s="275"/>
      <c r="C34" s="275"/>
      <c r="D34" s="275"/>
      <c r="E34" s="275"/>
      <c r="F34" s="275"/>
      <c r="G34" s="275"/>
      <c r="H34" s="275"/>
      <c r="I34" s="275"/>
      <c r="J34" s="275"/>
      <c r="K34" s="323"/>
      <c r="L34" s="323"/>
      <c r="M34" s="323"/>
      <c r="N34" s="323"/>
      <c r="O34" s="323"/>
      <c r="P34" s="323"/>
      <c r="Q34" s="323"/>
      <c r="R34" s="323"/>
      <c r="S34" s="323"/>
      <c r="T34" s="275"/>
      <c r="U34" s="275"/>
      <c r="V34" s="275"/>
      <c r="W34" s="275"/>
      <c r="X34" s="275"/>
      <c r="Y34" s="275"/>
      <c r="Z34" s="275"/>
      <c r="AA34" s="275"/>
      <c r="AB34" s="318"/>
      <c r="AC34" s="136"/>
      <c r="AD34" s="136"/>
      <c r="AE34" s="136"/>
      <c r="AF34" s="136"/>
      <c r="AG34" s="136"/>
      <c r="AH34" s="136"/>
      <c r="AI34" s="136"/>
      <c r="AJ34" s="136"/>
    </row>
    <row r="35" spans="1:36" x14ac:dyDescent="0.2">
      <c r="A35" s="272" t="s">
        <v>207</v>
      </c>
      <c r="B35" s="275"/>
      <c r="C35" s="275"/>
      <c r="D35" s="275"/>
      <c r="E35" s="275"/>
      <c r="F35" s="275"/>
      <c r="G35" s="275"/>
      <c r="H35" s="275"/>
      <c r="I35" s="275"/>
      <c r="J35" s="275"/>
      <c r="K35" s="275"/>
      <c r="L35" s="275"/>
      <c r="M35" s="275"/>
      <c r="N35" s="275"/>
      <c r="O35" s="275"/>
      <c r="P35" s="275"/>
      <c r="Q35" s="275"/>
      <c r="R35" s="275"/>
      <c r="S35" s="275"/>
      <c r="T35" s="275"/>
      <c r="U35" s="275"/>
      <c r="V35" s="275"/>
      <c r="W35" s="275"/>
      <c r="X35" s="275"/>
      <c r="Y35" s="275"/>
      <c r="Z35" s="275"/>
      <c r="AA35" s="275"/>
      <c r="AB35" s="318"/>
      <c r="AC35" s="136"/>
      <c r="AD35" s="136"/>
      <c r="AE35" s="136"/>
      <c r="AF35" s="136"/>
      <c r="AG35" s="136"/>
      <c r="AH35" s="136"/>
      <c r="AI35" s="136"/>
      <c r="AJ35" s="136"/>
    </row>
    <row r="36" spans="1:36" x14ac:dyDescent="0.2">
      <c r="A36" s="272" t="s">
        <v>1012</v>
      </c>
      <c r="B36" s="275"/>
      <c r="C36" s="275"/>
      <c r="D36" s="275"/>
      <c r="E36" s="275"/>
      <c r="F36" s="275"/>
      <c r="G36" s="275"/>
      <c r="H36" s="275"/>
      <c r="I36" s="275"/>
      <c r="J36" s="275"/>
      <c r="K36" s="275"/>
      <c r="L36" s="275"/>
      <c r="M36" s="275"/>
      <c r="N36" s="275"/>
      <c r="O36" s="275"/>
      <c r="P36" s="275"/>
      <c r="Q36" s="275"/>
      <c r="R36" s="275"/>
      <c r="S36" s="275"/>
      <c r="T36" s="275"/>
      <c r="U36" s="275"/>
      <c r="V36" s="275"/>
      <c r="W36" s="275"/>
      <c r="X36" s="275"/>
      <c r="Y36" s="275"/>
      <c r="Z36" s="275"/>
      <c r="AA36" s="275"/>
      <c r="AB36" s="318"/>
      <c r="AC36" s="136"/>
      <c r="AD36" s="136"/>
      <c r="AE36" s="136"/>
      <c r="AF36" s="136"/>
      <c r="AG36" s="136"/>
      <c r="AH36" s="136"/>
      <c r="AI36" s="136"/>
      <c r="AJ36" s="136"/>
    </row>
    <row r="37" spans="1:36" x14ac:dyDescent="0.2">
      <c r="A37" s="272" t="s">
        <v>217</v>
      </c>
      <c r="B37" s="275"/>
      <c r="C37" s="275"/>
      <c r="D37" s="275"/>
      <c r="E37" s="275"/>
      <c r="F37" s="275"/>
      <c r="G37" s="275"/>
      <c r="H37" s="275"/>
      <c r="I37" s="275"/>
      <c r="J37" s="275"/>
      <c r="K37" s="275"/>
      <c r="L37" s="275"/>
      <c r="M37" s="275"/>
      <c r="N37" s="275"/>
      <c r="O37" s="275"/>
      <c r="P37" s="275"/>
      <c r="Q37" s="275"/>
      <c r="R37" s="275"/>
      <c r="S37" s="275"/>
      <c r="T37" s="275"/>
      <c r="U37" s="275"/>
      <c r="V37" s="275"/>
      <c r="W37" s="275"/>
      <c r="X37" s="275"/>
      <c r="Y37" s="275"/>
      <c r="Z37" s="275"/>
      <c r="AA37" s="275"/>
      <c r="AB37" s="318"/>
      <c r="AC37" s="136"/>
      <c r="AD37" s="136"/>
      <c r="AE37" s="136"/>
      <c r="AF37" s="136"/>
      <c r="AG37" s="136"/>
      <c r="AH37" s="136"/>
      <c r="AI37" s="136"/>
      <c r="AJ37" s="136"/>
    </row>
    <row r="38" spans="1:36" x14ac:dyDescent="0.2">
      <c r="A38" s="138"/>
      <c r="B38" s="276"/>
      <c r="C38" s="276"/>
      <c r="D38" s="276"/>
      <c r="E38" s="276"/>
      <c r="F38" s="276"/>
      <c r="G38" s="276"/>
      <c r="H38" s="276"/>
      <c r="I38" s="276"/>
      <c r="J38" s="276"/>
      <c r="K38" s="276"/>
      <c r="L38" s="276"/>
      <c r="M38" s="276"/>
      <c r="N38" s="276"/>
      <c r="O38" s="276"/>
      <c r="P38" s="276"/>
      <c r="Q38" s="276"/>
      <c r="R38" s="276"/>
      <c r="S38" s="276"/>
      <c r="T38" s="276"/>
      <c r="U38" s="276"/>
      <c r="V38" s="276"/>
      <c r="W38" s="276"/>
      <c r="X38" s="276"/>
      <c r="Y38" s="276"/>
      <c r="Z38" s="276"/>
      <c r="AA38" s="276"/>
      <c r="AB38" s="138"/>
      <c r="AC38" s="138"/>
      <c r="AD38" s="138"/>
      <c r="AE38" s="138"/>
      <c r="AF38" s="138"/>
      <c r="AG38" s="138"/>
      <c r="AH38" s="138"/>
      <c r="AI38" s="138"/>
      <c r="AJ38" s="138"/>
    </row>
    <row r="39" spans="1:36" x14ac:dyDescent="0.2">
      <c r="A39" s="163" t="s">
        <v>1013</v>
      </c>
      <c r="B39" s="163">
        <f>SUM(B26:B38)</f>
        <v>0</v>
      </c>
      <c r="C39" s="163">
        <f t="shared" ref="C39:AJ39" si="2">SUM(C26:C38)</f>
        <v>0</v>
      </c>
      <c r="D39" s="163">
        <f t="shared" si="2"/>
        <v>0</v>
      </c>
      <c r="E39" s="163">
        <f t="shared" si="2"/>
        <v>0</v>
      </c>
      <c r="F39" s="163">
        <f t="shared" si="2"/>
        <v>0</v>
      </c>
      <c r="G39" s="163">
        <f t="shared" si="2"/>
        <v>0</v>
      </c>
      <c r="H39" s="163">
        <f t="shared" si="2"/>
        <v>0</v>
      </c>
      <c r="I39" s="163">
        <f t="shared" si="2"/>
        <v>0</v>
      </c>
      <c r="J39" s="163">
        <f t="shared" si="2"/>
        <v>0</v>
      </c>
      <c r="K39" s="163">
        <f t="shared" si="2"/>
        <v>0</v>
      </c>
      <c r="L39" s="163">
        <f t="shared" si="2"/>
        <v>0</v>
      </c>
      <c r="M39" s="163">
        <f t="shared" si="2"/>
        <v>0</v>
      </c>
      <c r="N39" s="163">
        <f t="shared" si="2"/>
        <v>0</v>
      </c>
      <c r="O39" s="163">
        <f t="shared" si="2"/>
        <v>0</v>
      </c>
      <c r="P39" s="163">
        <f t="shared" si="2"/>
        <v>0</v>
      </c>
      <c r="Q39" s="163">
        <f t="shared" si="2"/>
        <v>0</v>
      </c>
      <c r="R39" s="163">
        <f>SUM(R26:R38)</f>
        <v>0</v>
      </c>
      <c r="S39" s="163">
        <f t="shared" si="2"/>
        <v>0</v>
      </c>
      <c r="T39" s="163">
        <f t="shared" si="2"/>
        <v>0</v>
      </c>
      <c r="U39" s="163">
        <f t="shared" si="2"/>
        <v>0</v>
      </c>
      <c r="V39" s="163">
        <f t="shared" si="2"/>
        <v>0</v>
      </c>
      <c r="W39" s="163">
        <f t="shared" si="2"/>
        <v>0</v>
      </c>
      <c r="X39" s="163">
        <f t="shared" si="2"/>
        <v>0</v>
      </c>
      <c r="Y39" s="163">
        <f t="shared" si="2"/>
        <v>0</v>
      </c>
      <c r="Z39" s="163">
        <f t="shared" si="2"/>
        <v>0</v>
      </c>
      <c r="AA39" s="163">
        <f t="shared" si="2"/>
        <v>0</v>
      </c>
      <c r="AB39" s="126">
        <f t="shared" si="2"/>
        <v>0</v>
      </c>
      <c r="AC39" s="126">
        <f t="shared" si="2"/>
        <v>0</v>
      </c>
      <c r="AD39" s="126">
        <f t="shared" si="2"/>
        <v>0</v>
      </c>
      <c r="AE39" s="126">
        <f t="shared" si="2"/>
        <v>0</v>
      </c>
      <c r="AF39" s="126">
        <f t="shared" si="2"/>
        <v>0</v>
      </c>
      <c r="AG39" s="126">
        <f t="shared" si="2"/>
        <v>0</v>
      </c>
      <c r="AH39" s="126">
        <f t="shared" si="2"/>
        <v>0</v>
      </c>
      <c r="AI39" s="126">
        <f t="shared" si="2"/>
        <v>0</v>
      </c>
      <c r="AJ39" s="163">
        <f t="shared" si="2"/>
        <v>0</v>
      </c>
    </row>
  </sheetData>
  <sheetProtection sheet="1" objects="1" scenarios="1" formatCells="0" formatColumns="0" formatRows="0" insertColumns="0" insertRows="0" insertHyperlinks="0" deleteColumns="0" deleteRows="0"/>
  <mergeCells count="1">
    <mergeCell ref="A2:C2"/>
  </mergeCells>
  <phoneticPr fontId="7" type="noConversion"/>
  <hyperlinks>
    <hyperlink ref="A3" location="Totals!E8" display="Back to Totals Sheet"/>
  </hyperlinks>
  <pageMargins left="0.75" right="0.75" top="1" bottom="1" header="0.5" footer="0.5"/>
  <pageSetup paperSize="9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6"/>
  <sheetViews>
    <sheetView workbookViewId="0">
      <selection activeCell="A4" sqref="A4"/>
    </sheetView>
  </sheetViews>
  <sheetFormatPr defaultRowHeight="12.75" x14ac:dyDescent="0.2"/>
  <cols>
    <col min="1" max="1" width="45" style="163" customWidth="1"/>
    <col min="2" max="16384" width="9.140625" style="163"/>
  </cols>
  <sheetData>
    <row r="1" spans="1:1" ht="13.5" thickBot="1" x14ac:dyDescent="0.25">
      <c r="A1" s="297">
        <f>Name</f>
        <v>0</v>
      </c>
    </row>
    <row r="2" spans="1:1" ht="13.5" thickBot="1" x14ac:dyDescent="0.25">
      <c r="A2" s="297">
        <f>Number</f>
        <v>0</v>
      </c>
    </row>
    <row r="4" spans="1:1" x14ac:dyDescent="0.2">
      <c r="A4" s="274" t="s">
        <v>976</v>
      </c>
    </row>
    <row r="6" spans="1:1" x14ac:dyDescent="0.2">
      <c r="A6" s="273" t="s">
        <v>994</v>
      </c>
    </row>
  </sheetData>
  <phoneticPr fontId="7" type="noConversion"/>
  <hyperlinks>
    <hyperlink ref="A4" location="Totals!E8" display="Back to Totals Page"/>
  </hyperlinks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A407"/>
  <sheetViews>
    <sheetView workbookViewId="0">
      <selection activeCell="F13" sqref="F13"/>
    </sheetView>
  </sheetViews>
  <sheetFormatPr defaultRowHeight="12.75" x14ac:dyDescent="0.2"/>
  <cols>
    <col min="1" max="16384" width="9.140625" style="1"/>
  </cols>
  <sheetData>
    <row r="2" spans="1:27" x14ac:dyDescent="0.2">
      <c r="E2" s="1" t="s">
        <v>101</v>
      </c>
      <c r="F2" s="1" t="s">
        <v>102</v>
      </c>
      <c r="G2" s="1" t="str">
        <f>E2</f>
        <v>01A</v>
      </c>
      <c r="H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</row>
    <row r="3" spans="1:27" x14ac:dyDescent="0.2">
      <c r="E3" s="1" t="s">
        <v>103</v>
      </c>
      <c r="F3" s="1" t="s">
        <v>104</v>
      </c>
      <c r="G3" s="1" t="str">
        <f t="shared" ref="G3:G66" si="0">E3</f>
        <v>01B</v>
      </c>
      <c r="H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</row>
    <row r="4" spans="1:27" x14ac:dyDescent="0.2">
      <c r="E4" s="1" t="s">
        <v>105</v>
      </c>
      <c r="F4" s="1" t="s">
        <v>106</v>
      </c>
      <c r="G4" s="1" t="str">
        <f t="shared" si="0"/>
        <v>01C</v>
      </c>
      <c r="H4" s="134"/>
      <c r="J4" s="134"/>
      <c r="K4" s="134"/>
      <c r="L4" s="134"/>
      <c r="M4" s="134"/>
      <c r="N4" s="134"/>
      <c r="O4" s="134"/>
      <c r="P4" s="134"/>
      <c r="Q4" s="134"/>
      <c r="R4" s="134"/>
      <c r="S4" s="134"/>
      <c r="T4" s="134"/>
      <c r="U4" s="134"/>
      <c r="V4" s="134"/>
      <c r="W4" s="134"/>
      <c r="X4" s="134"/>
      <c r="Y4" s="134"/>
      <c r="Z4" s="134"/>
      <c r="AA4" s="134"/>
    </row>
    <row r="5" spans="1:27" x14ac:dyDescent="0.2">
      <c r="A5" s="1" t="s">
        <v>122</v>
      </c>
      <c r="B5" s="1" t="s">
        <v>123</v>
      </c>
      <c r="C5" s="1" t="s">
        <v>122</v>
      </c>
      <c r="E5" s="1" t="s">
        <v>107</v>
      </c>
      <c r="F5" s="1" t="s">
        <v>108</v>
      </c>
      <c r="G5" s="1" t="str">
        <f t="shared" si="0"/>
        <v>01D</v>
      </c>
      <c r="H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</row>
    <row r="6" spans="1:27" x14ac:dyDescent="0.2">
      <c r="A6" s="1" t="s">
        <v>124</v>
      </c>
      <c r="B6" s="1" t="s">
        <v>125</v>
      </c>
      <c r="C6" s="1" t="s">
        <v>124</v>
      </c>
      <c r="E6" s="1" t="s">
        <v>109</v>
      </c>
      <c r="F6" s="1" t="s">
        <v>110</v>
      </c>
      <c r="G6" s="1" t="str">
        <f t="shared" si="0"/>
        <v>01E</v>
      </c>
      <c r="H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4"/>
    </row>
    <row r="7" spans="1:27" x14ac:dyDescent="0.2">
      <c r="A7" s="1" t="s">
        <v>126</v>
      </c>
      <c r="B7" s="1" t="s">
        <v>127</v>
      </c>
      <c r="C7" s="1" t="s">
        <v>126</v>
      </c>
      <c r="E7" s="1" t="s">
        <v>111</v>
      </c>
      <c r="F7" s="1" t="s">
        <v>112</v>
      </c>
      <c r="G7" s="1" t="str">
        <f t="shared" si="0"/>
        <v>01F</v>
      </c>
      <c r="H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4"/>
      <c r="X7" s="134"/>
      <c r="Y7" s="134"/>
      <c r="Z7" s="134"/>
      <c r="AA7" s="134"/>
    </row>
    <row r="8" spans="1:27" x14ac:dyDescent="0.2">
      <c r="A8" s="1" t="s">
        <v>128</v>
      </c>
      <c r="B8" s="1" t="s">
        <v>932</v>
      </c>
      <c r="C8" s="1" t="s">
        <v>128</v>
      </c>
      <c r="E8" s="1" t="s">
        <v>113</v>
      </c>
      <c r="F8" s="1" t="s">
        <v>114</v>
      </c>
      <c r="G8" s="1" t="str">
        <f t="shared" si="0"/>
        <v>01G</v>
      </c>
      <c r="H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</row>
    <row r="9" spans="1:27" x14ac:dyDescent="0.2">
      <c r="A9" s="1" t="s">
        <v>130</v>
      </c>
      <c r="B9" s="1" t="s">
        <v>9</v>
      </c>
      <c r="C9" s="1" t="s">
        <v>130</v>
      </c>
      <c r="E9" s="1" t="s">
        <v>115</v>
      </c>
      <c r="F9" s="1" t="s">
        <v>116</v>
      </c>
      <c r="G9" s="1" t="str">
        <f t="shared" si="0"/>
        <v>01H</v>
      </c>
      <c r="H9" s="134"/>
      <c r="J9" s="134"/>
      <c r="K9" s="134"/>
      <c r="L9" s="134"/>
      <c r="M9" s="134"/>
      <c r="N9" s="134"/>
      <c r="O9" s="134"/>
      <c r="P9" s="134"/>
      <c r="Q9" s="134"/>
      <c r="R9" s="134"/>
      <c r="S9" s="134"/>
      <c r="T9" s="134"/>
      <c r="U9" s="134"/>
      <c r="V9" s="134"/>
      <c r="W9" s="134"/>
      <c r="X9" s="134"/>
      <c r="Y9" s="134"/>
      <c r="Z9" s="134"/>
      <c r="AA9" s="134"/>
    </row>
    <row r="10" spans="1:27" x14ac:dyDescent="0.2">
      <c r="A10" s="1" t="s">
        <v>132</v>
      </c>
      <c r="B10" s="1" t="s">
        <v>133</v>
      </c>
      <c r="C10" s="1" t="s">
        <v>132</v>
      </c>
      <c r="E10" s="1" t="s">
        <v>117</v>
      </c>
      <c r="F10" s="1" t="s">
        <v>118</v>
      </c>
      <c r="G10" s="1" t="str">
        <f t="shared" si="0"/>
        <v>01I</v>
      </c>
      <c r="H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</row>
    <row r="11" spans="1:27" x14ac:dyDescent="0.2">
      <c r="A11" s="1" t="s">
        <v>134</v>
      </c>
      <c r="B11" s="1" t="s">
        <v>135</v>
      </c>
      <c r="C11" s="1" t="s">
        <v>134</v>
      </c>
      <c r="E11" s="1" t="s">
        <v>119</v>
      </c>
      <c r="F11" s="1" t="s">
        <v>120</v>
      </c>
      <c r="G11" s="1" t="str">
        <f t="shared" si="0"/>
        <v>01J</v>
      </c>
      <c r="H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</row>
    <row r="12" spans="1:27" x14ac:dyDescent="0.2">
      <c r="A12" s="1" t="s">
        <v>136</v>
      </c>
      <c r="B12" s="1" t="s">
        <v>137</v>
      </c>
      <c r="C12" s="1" t="s">
        <v>136</v>
      </c>
      <c r="E12" s="1" t="s">
        <v>121</v>
      </c>
      <c r="F12" s="1" t="s">
        <v>973</v>
      </c>
      <c r="G12" s="1" t="str">
        <f t="shared" si="0"/>
        <v>01K</v>
      </c>
      <c r="H12" s="134"/>
      <c r="J12" s="134"/>
      <c r="K12" s="134"/>
      <c r="L12" s="134"/>
      <c r="M12" s="134"/>
      <c r="N12" s="134"/>
      <c r="O12" s="134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</row>
    <row r="13" spans="1:27" x14ac:dyDescent="0.2">
      <c r="E13" s="1" t="s">
        <v>122</v>
      </c>
      <c r="F13" s="1" t="s">
        <v>123</v>
      </c>
      <c r="G13" s="1" t="str">
        <f t="shared" si="0"/>
        <v>02A</v>
      </c>
      <c r="H13" s="134"/>
      <c r="J13" s="134"/>
      <c r="K13" s="134"/>
      <c r="L13" s="134"/>
      <c r="M13" s="134"/>
      <c r="N13" s="134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</row>
    <row r="14" spans="1:27" x14ac:dyDescent="0.2">
      <c r="A14" s="1" t="s">
        <v>192</v>
      </c>
      <c r="B14" s="1" t="s">
        <v>193</v>
      </c>
      <c r="C14" s="1" t="s">
        <v>192</v>
      </c>
      <c r="E14" s="1" t="s">
        <v>124</v>
      </c>
      <c r="F14" s="1" t="s">
        <v>125</v>
      </c>
      <c r="G14" s="1" t="str">
        <f t="shared" si="0"/>
        <v>02B</v>
      </c>
      <c r="H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</row>
    <row r="15" spans="1:27" x14ac:dyDescent="0.2">
      <c r="A15" s="1" t="s">
        <v>194</v>
      </c>
      <c r="B15" s="1" t="s">
        <v>195</v>
      </c>
      <c r="C15" s="1" t="s">
        <v>194</v>
      </c>
      <c r="E15" s="1" t="s">
        <v>126</v>
      </c>
      <c r="F15" s="1" t="s">
        <v>127</v>
      </c>
      <c r="G15" s="1" t="str">
        <f t="shared" si="0"/>
        <v>02C</v>
      </c>
      <c r="H15" s="134"/>
      <c r="J15" s="134"/>
      <c r="K15" s="134"/>
      <c r="L15" s="134"/>
      <c r="M15" s="134"/>
      <c r="N15" s="134"/>
      <c r="O15" s="134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</row>
    <row r="16" spans="1:27" x14ac:dyDescent="0.2">
      <c r="A16" s="1" t="s">
        <v>196</v>
      </c>
      <c r="B16" s="1" t="s">
        <v>197</v>
      </c>
      <c r="C16" s="1" t="s">
        <v>196</v>
      </c>
      <c r="E16" s="1" t="s">
        <v>128</v>
      </c>
      <c r="F16" s="1" t="s">
        <v>129</v>
      </c>
      <c r="G16" s="1" t="str">
        <f t="shared" si="0"/>
        <v>02D</v>
      </c>
      <c r="H16" s="134"/>
      <c r="J16" s="134"/>
      <c r="K16" s="134"/>
      <c r="L16" s="134"/>
      <c r="M16" s="134"/>
      <c r="N16" s="134"/>
      <c r="O16" s="134"/>
      <c r="P16" s="134"/>
      <c r="Q16" s="134"/>
      <c r="R16" s="134"/>
      <c r="S16" s="134"/>
      <c r="T16" s="134"/>
      <c r="U16" s="134"/>
      <c r="V16" s="134"/>
      <c r="W16" s="134"/>
      <c r="X16" s="134"/>
      <c r="Y16" s="134"/>
      <c r="Z16" s="134"/>
      <c r="AA16" s="134"/>
    </row>
    <row r="17" spans="1:27" x14ac:dyDescent="0.2">
      <c r="A17" s="1" t="s">
        <v>198</v>
      </c>
      <c r="B17" s="1" t="s">
        <v>199</v>
      </c>
      <c r="C17" s="1" t="s">
        <v>198</v>
      </c>
      <c r="E17" s="1" t="s">
        <v>130</v>
      </c>
      <c r="F17" s="1" t="s">
        <v>131</v>
      </c>
      <c r="G17" s="1" t="str">
        <f t="shared" si="0"/>
        <v>02E</v>
      </c>
      <c r="H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Z17" s="134"/>
      <c r="AA17" s="134"/>
    </row>
    <row r="18" spans="1:27" x14ac:dyDescent="0.2">
      <c r="A18" s="1" t="s">
        <v>200</v>
      </c>
      <c r="B18" s="1" t="s">
        <v>201</v>
      </c>
      <c r="C18" s="1" t="s">
        <v>200</v>
      </c>
      <c r="E18" s="1" t="s">
        <v>132</v>
      </c>
      <c r="F18" s="1" t="s">
        <v>133</v>
      </c>
      <c r="G18" s="1" t="str">
        <f t="shared" si="0"/>
        <v>02F</v>
      </c>
      <c r="H18" s="134"/>
      <c r="J18" s="134"/>
      <c r="K18" s="134"/>
      <c r="L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4"/>
      <c r="AA18" s="134"/>
    </row>
    <row r="19" spans="1:27" x14ac:dyDescent="0.2">
      <c r="A19" s="1" t="s">
        <v>202</v>
      </c>
      <c r="B19" s="1" t="s">
        <v>203</v>
      </c>
      <c r="C19" s="1" t="s">
        <v>202</v>
      </c>
      <c r="E19" s="1" t="s">
        <v>134</v>
      </c>
      <c r="F19" s="1" t="s">
        <v>135</v>
      </c>
      <c r="G19" s="1" t="str">
        <f t="shared" si="0"/>
        <v>02G</v>
      </c>
      <c r="H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X19" s="134"/>
      <c r="Y19" s="134"/>
      <c r="Z19" s="134"/>
      <c r="AA19" s="134"/>
    </row>
    <row r="20" spans="1:27" x14ac:dyDescent="0.2">
      <c r="A20" s="1" t="s">
        <v>204</v>
      </c>
      <c r="B20" s="1" t="s">
        <v>205</v>
      </c>
      <c r="C20" s="1" t="s">
        <v>204</v>
      </c>
      <c r="E20" s="1" t="s">
        <v>136</v>
      </c>
      <c r="F20" s="1" t="s">
        <v>137</v>
      </c>
      <c r="G20" s="1" t="str">
        <f t="shared" si="0"/>
        <v>02H</v>
      </c>
      <c r="H20" s="134"/>
      <c r="J20" s="134"/>
      <c r="K20" s="134"/>
      <c r="L20" s="134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</row>
    <row r="21" spans="1:27" x14ac:dyDescent="0.2">
      <c r="A21" s="1" t="s">
        <v>206</v>
      </c>
      <c r="B21" s="1" t="s">
        <v>207</v>
      </c>
      <c r="C21" s="1" t="s">
        <v>206</v>
      </c>
      <c r="E21" s="1" t="s">
        <v>138</v>
      </c>
      <c r="F21" s="1" t="s">
        <v>139</v>
      </c>
      <c r="G21" s="1" t="str">
        <f t="shared" si="0"/>
        <v>03A</v>
      </c>
      <c r="H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</row>
    <row r="22" spans="1:27" x14ac:dyDescent="0.2">
      <c r="A22" s="1" t="s">
        <v>208</v>
      </c>
      <c r="B22" s="1" t="s">
        <v>933</v>
      </c>
      <c r="C22" s="1" t="s">
        <v>208</v>
      </c>
      <c r="E22" s="1" t="s">
        <v>140</v>
      </c>
      <c r="F22" s="1" t="s">
        <v>141</v>
      </c>
      <c r="G22" s="1" t="str">
        <f t="shared" si="0"/>
        <v>03B</v>
      </c>
      <c r="H22" s="134"/>
      <c r="J22" s="134"/>
      <c r="K22" s="134"/>
      <c r="L22" s="134"/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</row>
    <row r="23" spans="1:27" x14ac:dyDescent="0.2">
      <c r="A23" s="1" t="s">
        <v>210</v>
      </c>
      <c r="B23" s="1" t="s">
        <v>211</v>
      </c>
      <c r="C23" s="1" t="s">
        <v>210</v>
      </c>
      <c r="E23" s="1" t="s">
        <v>142</v>
      </c>
      <c r="F23" s="1" t="s">
        <v>143</v>
      </c>
      <c r="G23" s="1" t="str">
        <f t="shared" si="0"/>
        <v>03C</v>
      </c>
      <c r="H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</row>
    <row r="24" spans="1:27" x14ac:dyDescent="0.2">
      <c r="A24" s="1" t="s">
        <v>212</v>
      </c>
      <c r="B24" s="1" t="s">
        <v>213</v>
      </c>
      <c r="C24" s="1" t="s">
        <v>212</v>
      </c>
      <c r="E24" s="1" t="s">
        <v>144</v>
      </c>
      <c r="F24" s="1" t="s">
        <v>914</v>
      </c>
      <c r="G24" s="1" t="str">
        <f t="shared" si="0"/>
        <v>03D</v>
      </c>
      <c r="H24" s="134"/>
      <c r="I24" s="134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</row>
    <row r="25" spans="1:27" x14ac:dyDescent="0.2">
      <c r="A25" s="1" t="s">
        <v>214</v>
      </c>
      <c r="B25" s="1" t="s">
        <v>215</v>
      </c>
      <c r="C25" s="1" t="s">
        <v>214</v>
      </c>
      <c r="E25" s="1" t="s">
        <v>145</v>
      </c>
      <c r="F25" s="1" t="s">
        <v>146</v>
      </c>
      <c r="G25" s="1" t="str">
        <f t="shared" si="0"/>
        <v>03E</v>
      </c>
      <c r="H25" s="134"/>
      <c r="I25" s="134"/>
      <c r="J25" s="134"/>
      <c r="K25" s="134"/>
      <c r="L25" s="134"/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X25" s="134"/>
      <c r="Y25" s="134"/>
      <c r="Z25" s="134"/>
      <c r="AA25" s="134"/>
    </row>
    <row r="26" spans="1:27" x14ac:dyDescent="0.2">
      <c r="A26" s="1" t="s">
        <v>216</v>
      </c>
      <c r="B26" s="1" t="s">
        <v>217</v>
      </c>
      <c r="C26" s="1" t="s">
        <v>216</v>
      </c>
      <c r="E26" s="1" t="s">
        <v>147</v>
      </c>
      <c r="F26" s="1" t="s">
        <v>148</v>
      </c>
      <c r="G26" s="1" t="str">
        <f t="shared" si="0"/>
        <v>03F</v>
      </c>
      <c r="H26" s="134"/>
      <c r="I26" s="134"/>
      <c r="J26" s="134"/>
      <c r="K26" s="134"/>
      <c r="L26" s="134"/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X26" s="134"/>
      <c r="Y26" s="134"/>
      <c r="Z26" s="134"/>
      <c r="AA26" s="134"/>
    </row>
    <row r="27" spans="1:27" x14ac:dyDescent="0.2">
      <c r="A27" s="1" t="s">
        <v>218</v>
      </c>
      <c r="B27" s="1" t="s">
        <v>219</v>
      </c>
      <c r="C27" s="1" t="s">
        <v>218</v>
      </c>
      <c r="E27" s="1" t="s">
        <v>149</v>
      </c>
      <c r="F27" s="1" t="s">
        <v>150</v>
      </c>
      <c r="G27" s="1" t="str">
        <f t="shared" si="0"/>
        <v>03G</v>
      </c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  <c r="AA27" s="134"/>
    </row>
    <row r="28" spans="1:27" x14ac:dyDescent="0.2">
      <c r="A28" s="1" t="s">
        <v>220</v>
      </c>
      <c r="B28" s="1" t="s">
        <v>221</v>
      </c>
      <c r="C28" s="1" t="s">
        <v>220</v>
      </c>
      <c r="E28" s="1" t="s">
        <v>151</v>
      </c>
      <c r="F28" s="1" t="s">
        <v>152</v>
      </c>
      <c r="G28" s="1" t="str">
        <f t="shared" si="0"/>
        <v>03H</v>
      </c>
      <c r="H28" s="134"/>
      <c r="I28" s="134"/>
      <c r="J28" s="134"/>
      <c r="K28" s="134"/>
      <c r="L28" s="134"/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X28" s="134"/>
      <c r="Y28" s="134"/>
      <c r="Z28" s="134"/>
      <c r="AA28" s="134"/>
    </row>
    <row r="29" spans="1:27" x14ac:dyDescent="0.2">
      <c r="A29" s="1" t="s">
        <v>222</v>
      </c>
      <c r="B29" s="1" t="s">
        <v>223</v>
      </c>
      <c r="C29" s="1" t="s">
        <v>222</v>
      </c>
      <c r="E29" s="1" t="s">
        <v>153</v>
      </c>
      <c r="F29" s="1" t="s">
        <v>154</v>
      </c>
      <c r="G29" s="1" t="str">
        <f t="shared" si="0"/>
        <v>03I</v>
      </c>
      <c r="H29" s="134"/>
      <c r="I29" s="134"/>
      <c r="J29" s="134"/>
      <c r="K29" s="134"/>
      <c r="L29" s="134"/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X29" s="134"/>
      <c r="Y29" s="134"/>
      <c r="Z29" s="134"/>
      <c r="AA29" s="134"/>
    </row>
    <row r="30" spans="1:27" x14ac:dyDescent="0.2">
      <c r="A30" s="1" t="s">
        <v>224</v>
      </c>
      <c r="B30" s="1" t="s">
        <v>225</v>
      </c>
      <c r="C30" s="1" t="s">
        <v>224</v>
      </c>
      <c r="E30" s="1" t="s">
        <v>155</v>
      </c>
      <c r="F30" s="1" t="s">
        <v>156</v>
      </c>
      <c r="G30" s="1" t="str">
        <f t="shared" si="0"/>
        <v>03J</v>
      </c>
      <c r="H30" s="134"/>
      <c r="I30" s="134"/>
      <c r="J30" s="134"/>
      <c r="K30" s="134"/>
      <c r="L30" s="134"/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  <c r="AA30" s="134"/>
    </row>
    <row r="31" spans="1:27" x14ac:dyDescent="0.2">
      <c r="A31" s="1" t="s">
        <v>226</v>
      </c>
      <c r="B31" s="1" t="s">
        <v>227</v>
      </c>
      <c r="C31" s="1" t="s">
        <v>226</v>
      </c>
      <c r="E31" s="1" t="s">
        <v>157</v>
      </c>
      <c r="F31" s="1" t="s">
        <v>158</v>
      </c>
      <c r="G31" s="1" t="str">
        <f t="shared" si="0"/>
        <v>03K</v>
      </c>
      <c r="H31" s="134"/>
      <c r="I31" s="134"/>
      <c r="J31" s="134"/>
      <c r="K31" s="134"/>
      <c r="L31" s="134"/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X31" s="134"/>
      <c r="Y31" s="134"/>
      <c r="Z31" s="134"/>
      <c r="AA31" s="134"/>
    </row>
    <row r="32" spans="1:27" x14ac:dyDescent="0.2">
      <c r="A32" s="1" t="s">
        <v>228</v>
      </c>
      <c r="B32" s="1" t="s">
        <v>229</v>
      </c>
      <c r="C32" s="1" t="s">
        <v>228</v>
      </c>
      <c r="E32" s="1" t="s">
        <v>159</v>
      </c>
      <c r="F32" s="1" t="s">
        <v>160</v>
      </c>
      <c r="G32" s="1" t="str">
        <f t="shared" si="0"/>
        <v>03L</v>
      </c>
      <c r="H32" s="134"/>
      <c r="I32" s="134"/>
      <c r="J32" s="134"/>
      <c r="K32" s="134"/>
      <c r="L32" s="134"/>
      <c r="M32" s="134"/>
      <c r="N32" s="134"/>
      <c r="O32" s="134"/>
      <c r="P32" s="134"/>
      <c r="Q32" s="134"/>
      <c r="R32" s="134"/>
      <c r="S32" s="134"/>
      <c r="T32" s="134"/>
      <c r="U32" s="134"/>
      <c r="V32" s="134"/>
      <c r="W32" s="134"/>
      <c r="X32" s="134"/>
      <c r="Y32" s="134"/>
      <c r="Z32" s="134"/>
      <c r="AA32" s="134"/>
    </row>
    <row r="33" spans="1:27" x14ac:dyDescent="0.2">
      <c r="A33" s="1" t="s">
        <v>230</v>
      </c>
      <c r="B33" s="1" t="s">
        <v>231</v>
      </c>
      <c r="C33" s="1" t="s">
        <v>230</v>
      </c>
      <c r="E33" s="1" t="s">
        <v>161</v>
      </c>
      <c r="F33" s="1" t="s">
        <v>162</v>
      </c>
      <c r="G33" s="1" t="str">
        <f t="shared" si="0"/>
        <v>03M</v>
      </c>
      <c r="H33" s="134"/>
      <c r="I33" s="134"/>
      <c r="J33" s="134"/>
      <c r="K33" s="134"/>
      <c r="L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X33" s="134"/>
      <c r="Y33" s="134"/>
      <c r="Z33" s="134"/>
      <c r="AA33" s="134"/>
    </row>
    <row r="34" spans="1:27" x14ac:dyDescent="0.2">
      <c r="A34" s="1" t="s">
        <v>232</v>
      </c>
      <c r="B34" s="1" t="s">
        <v>233</v>
      </c>
      <c r="C34" s="1" t="s">
        <v>232</v>
      </c>
      <c r="E34" s="1" t="s">
        <v>163</v>
      </c>
      <c r="F34" s="1" t="s">
        <v>164</v>
      </c>
      <c r="G34" s="1" t="str">
        <f t="shared" si="0"/>
        <v>03N</v>
      </c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X34" s="134"/>
      <c r="Y34" s="134"/>
      <c r="Z34" s="134"/>
      <c r="AA34" s="134"/>
    </row>
    <row r="35" spans="1:27" x14ac:dyDescent="0.2">
      <c r="A35" s="1" t="s">
        <v>234</v>
      </c>
      <c r="B35" s="1" t="s">
        <v>235</v>
      </c>
      <c r="C35" s="1" t="s">
        <v>234</v>
      </c>
      <c r="E35" s="1" t="s">
        <v>165</v>
      </c>
      <c r="F35" s="1" t="s">
        <v>166</v>
      </c>
      <c r="G35" s="1" t="str">
        <f t="shared" si="0"/>
        <v>03O</v>
      </c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4"/>
      <c r="AA35" s="134"/>
    </row>
    <row r="36" spans="1:27" x14ac:dyDescent="0.2">
      <c r="A36" s="1" t="s">
        <v>236</v>
      </c>
      <c r="B36" s="1" t="s">
        <v>237</v>
      </c>
      <c r="C36" s="1" t="s">
        <v>236</v>
      </c>
      <c r="E36" s="1" t="s">
        <v>167</v>
      </c>
      <c r="F36" s="1" t="s">
        <v>168</v>
      </c>
      <c r="G36" s="1" t="str">
        <f t="shared" si="0"/>
        <v>03P</v>
      </c>
      <c r="H36" s="134"/>
      <c r="I36" s="134"/>
      <c r="J36" s="134"/>
      <c r="K36" s="134"/>
      <c r="L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X36" s="134"/>
      <c r="Y36" s="134"/>
      <c r="Z36" s="134"/>
      <c r="AA36" s="134"/>
    </row>
    <row r="37" spans="1:27" x14ac:dyDescent="0.2">
      <c r="A37" s="1" t="s">
        <v>238</v>
      </c>
      <c r="B37" s="1" t="s">
        <v>239</v>
      </c>
      <c r="C37" s="1" t="s">
        <v>238</v>
      </c>
      <c r="E37" s="1" t="s">
        <v>169</v>
      </c>
      <c r="F37" s="1" t="s">
        <v>170</v>
      </c>
      <c r="G37" s="1" t="str">
        <f t="shared" si="0"/>
        <v>03Q</v>
      </c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/>
    </row>
    <row r="38" spans="1:27" x14ac:dyDescent="0.2">
      <c r="A38" s="1" t="s">
        <v>240</v>
      </c>
      <c r="B38" s="1" t="s">
        <v>241</v>
      </c>
      <c r="C38" s="1" t="s">
        <v>240</v>
      </c>
      <c r="E38" s="1" t="s">
        <v>171</v>
      </c>
      <c r="F38" s="1" t="s">
        <v>914</v>
      </c>
      <c r="G38" s="1" t="str">
        <f t="shared" si="0"/>
        <v>03R</v>
      </c>
      <c r="H38" s="134"/>
      <c r="I38" s="134"/>
      <c r="J38" s="134"/>
      <c r="K38" s="134"/>
      <c r="L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X38" s="134"/>
      <c r="Y38" s="134"/>
      <c r="Z38" s="134"/>
      <c r="AA38" s="134"/>
    </row>
    <row r="39" spans="1:27" x14ac:dyDescent="0.2">
      <c r="A39" s="1" t="s">
        <v>242</v>
      </c>
      <c r="B39" s="1" t="s">
        <v>243</v>
      </c>
      <c r="C39" s="1" t="s">
        <v>242</v>
      </c>
      <c r="E39" s="1" t="s">
        <v>172</v>
      </c>
      <c r="F39" s="1" t="s">
        <v>173</v>
      </c>
      <c r="G39" s="1" t="str">
        <f t="shared" si="0"/>
        <v>03S</v>
      </c>
      <c r="H39" s="134"/>
      <c r="I39" s="134"/>
      <c r="J39" s="134"/>
      <c r="K39" s="134"/>
      <c r="L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X39" s="134"/>
      <c r="Y39" s="134"/>
      <c r="Z39" s="134"/>
      <c r="AA39" s="134"/>
    </row>
    <row r="40" spans="1:27" x14ac:dyDescent="0.2">
      <c r="A40" s="1" t="s">
        <v>244</v>
      </c>
      <c r="B40" s="1" t="s">
        <v>245</v>
      </c>
      <c r="C40" s="1" t="s">
        <v>244</v>
      </c>
      <c r="E40" s="1" t="s">
        <v>174</v>
      </c>
      <c r="F40" s="1" t="s">
        <v>175</v>
      </c>
      <c r="G40" s="1" t="str">
        <f t="shared" si="0"/>
        <v>04A</v>
      </c>
      <c r="H40" s="134"/>
      <c r="I40" s="134"/>
      <c r="J40" s="134"/>
      <c r="K40" s="134"/>
      <c r="L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X40" s="134"/>
      <c r="Y40" s="134"/>
      <c r="Z40" s="134"/>
      <c r="AA40" s="134"/>
    </row>
    <row r="41" spans="1:27" x14ac:dyDescent="0.2">
      <c r="A41" s="1" t="s">
        <v>246</v>
      </c>
      <c r="B41" s="1" t="s">
        <v>247</v>
      </c>
      <c r="C41" s="1" t="s">
        <v>246</v>
      </c>
      <c r="E41" s="1" t="s">
        <v>176</v>
      </c>
      <c r="F41" s="1" t="s">
        <v>177</v>
      </c>
      <c r="G41" s="1" t="str">
        <f t="shared" si="0"/>
        <v>04B</v>
      </c>
      <c r="H41" s="134"/>
      <c r="I41" s="134"/>
      <c r="J41" s="134"/>
      <c r="K41" s="134"/>
      <c r="L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X41" s="134"/>
      <c r="Y41" s="134"/>
      <c r="Z41" s="134"/>
      <c r="AA41" s="134"/>
    </row>
    <row r="42" spans="1:27" x14ac:dyDescent="0.2">
      <c r="A42" s="1" t="s">
        <v>248</v>
      </c>
      <c r="B42" s="1" t="s">
        <v>249</v>
      </c>
      <c r="C42" s="1" t="s">
        <v>248</v>
      </c>
      <c r="E42" s="1" t="s">
        <v>178</v>
      </c>
      <c r="F42" s="1" t="s">
        <v>179</v>
      </c>
      <c r="G42" s="1" t="str">
        <f t="shared" si="0"/>
        <v>04C</v>
      </c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</row>
    <row r="43" spans="1:27" x14ac:dyDescent="0.2">
      <c r="A43" s="1" t="s">
        <v>250</v>
      </c>
      <c r="B43" s="1" t="s">
        <v>251</v>
      </c>
      <c r="C43" s="1" t="s">
        <v>250</v>
      </c>
      <c r="E43" s="1" t="s">
        <v>180</v>
      </c>
      <c r="F43" s="1" t="s">
        <v>181</v>
      </c>
      <c r="G43" s="1" t="str">
        <f t="shared" si="0"/>
        <v>04D</v>
      </c>
      <c r="H43" s="134"/>
      <c r="I43" s="134"/>
      <c r="J43" s="134"/>
      <c r="K43" s="134"/>
      <c r="L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X43" s="134"/>
      <c r="Y43" s="134"/>
      <c r="Z43" s="134"/>
      <c r="AA43" s="134"/>
    </row>
    <row r="44" spans="1:27" x14ac:dyDescent="0.2">
      <c r="A44" s="1" t="s">
        <v>252</v>
      </c>
      <c r="B44" s="1" t="s">
        <v>253</v>
      </c>
      <c r="C44" s="1" t="s">
        <v>252</v>
      </c>
      <c r="E44" s="1" t="s">
        <v>182</v>
      </c>
      <c r="F44" s="1" t="s">
        <v>183</v>
      </c>
      <c r="G44" s="1" t="str">
        <f t="shared" si="0"/>
        <v>04E</v>
      </c>
      <c r="H44" s="134"/>
      <c r="I44" s="134"/>
      <c r="J44" s="134"/>
      <c r="K44" s="134"/>
      <c r="L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X44" s="134"/>
      <c r="Y44" s="134"/>
      <c r="Z44" s="134"/>
      <c r="AA44" s="134"/>
    </row>
    <row r="45" spans="1:27" x14ac:dyDescent="0.2">
      <c r="A45" s="1" t="s">
        <v>254</v>
      </c>
      <c r="B45" s="1" t="s">
        <v>255</v>
      </c>
      <c r="C45" s="1" t="s">
        <v>254</v>
      </c>
      <c r="E45" s="1" t="s">
        <v>184</v>
      </c>
      <c r="F45" s="1" t="s">
        <v>185</v>
      </c>
      <c r="G45" s="1" t="str">
        <f t="shared" si="0"/>
        <v>04F</v>
      </c>
      <c r="H45" s="134"/>
      <c r="I45" s="134"/>
      <c r="J45" s="134"/>
      <c r="K45" s="134"/>
      <c r="L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X45" s="134"/>
      <c r="Y45" s="134"/>
      <c r="Z45" s="134"/>
      <c r="AA45" s="134"/>
    </row>
    <row r="46" spans="1:27" x14ac:dyDescent="0.2">
      <c r="A46" s="1" t="s">
        <v>256</v>
      </c>
      <c r="B46" s="1" t="s">
        <v>257</v>
      </c>
      <c r="C46" s="1" t="s">
        <v>256</v>
      </c>
      <c r="E46" s="1" t="s">
        <v>186</v>
      </c>
      <c r="F46" s="1" t="s">
        <v>187</v>
      </c>
      <c r="G46" s="1" t="str">
        <f t="shared" si="0"/>
        <v>04G</v>
      </c>
      <c r="H46" s="134"/>
      <c r="I46" s="134"/>
      <c r="J46" s="134"/>
      <c r="K46" s="134"/>
      <c r="L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X46" s="134"/>
      <c r="Y46" s="134"/>
      <c r="Z46" s="134"/>
      <c r="AA46" s="134"/>
    </row>
    <row r="47" spans="1:27" x14ac:dyDescent="0.2">
      <c r="E47" s="1" t="s">
        <v>188</v>
      </c>
      <c r="F47" s="1" t="s">
        <v>189</v>
      </c>
      <c r="G47" s="1" t="str">
        <f t="shared" si="0"/>
        <v>04H</v>
      </c>
      <c r="H47" s="134"/>
      <c r="I47" s="134"/>
      <c r="J47" s="134"/>
      <c r="K47" s="134"/>
      <c r="L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X47" s="134"/>
      <c r="Y47" s="134"/>
      <c r="Z47" s="134"/>
      <c r="AA47" s="134"/>
    </row>
    <row r="48" spans="1:27" x14ac:dyDescent="0.2">
      <c r="E48" s="1" t="s">
        <v>190</v>
      </c>
      <c r="F48" s="1" t="s">
        <v>191</v>
      </c>
      <c r="G48" s="1" t="str">
        <f t="shared" si="0"/>
        <v>04I</v>
      </c>
      <c r="H48" s="134"/>
      <c r="I48" s="134"/>
      <c r="J48" s="134"/>
      <c r="K48" s="134"/>
      <c r="L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X48" s="134"/>
      <c r="Y48" s="134"/>
      <c r="Z48" s="134"/>
      <c r="AA48" s="134"/>
    </row>
    <row r="49" spans="5:27" x14ac:dyDescent="0.2">
      <c r="E49" s="1" t="s">
        <v>192</v>
      </c>
      <c r="F49" s="1" t="s">
        <v>193</v>
      </c>
      <c r="G49" s="1" t="str">
        <f t="shared" si="0"/>
        <v>05A</v>
      </c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4"/>
      <c r="AA49" s="134"/>
    </row>
    <row r="50" spans="5:27" x14ac:dyDescent="0.2">
      <c r="E50" s="1" t="s">
        <v>194</v>
      </c>
      <c r="F50" s="1" t="s">
        <v>195</v>
      </c>
      <c r="G50" s="1" t="str">
        <f t="shared" si="0"/>
        <v>05B</v>
      </c>
      <c r="H50" s="134"/>
      <c r="I50" s="134"/>
      <c r="J50" s="134"/>
      <c r="K50" s="134"/>
      <c r="L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X50" s="134"/>
      <c r="Y50" s="134"/>
      <c r="Z50" s="134"/>
      <c r="AA50" s="134"/>
    </row>
    <row r="51" spans="5:27" x14ac:dyDescent="0.2">
      <c r="E51" s="1" t="s">
        <v>196</v>
      </c>
      <c r="F51" s="1" t="s">
        <v>197</v>
      </c>
      <c r="G51" s="1" t="str">
        <f t="shared" si="0"/>
        <v>05C</v>
      </c>
      <c r="H51" s="134"/>
      <c r="I51" s="134"/>
      <c r="J51" s="134"/>
      <c r="K51" s="134"/>
      <c r="L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X51" s="134"/>
      <c r="Y51" s="134"/>
      <c r="Z51" s="134"/>
      <c r="AA51" s="134"/>
    </row>
    <row r="52" spans="5:27" x14ac:dyDescent="0.2">
      <c r="E52" s="1" t="s">
        <v>198</v>
      </c>
      <c r="F52" s="1" t="s">
        <v>199</v>
      </c>
      <c r="G52" s="1" t="str">
        <f t="shared" si="0"/>
        <v>05D</v>
      </c>
      <c r="H52" s="134"/>
      <c r="I52" s="134"/>
      <c r="J52" s="134"/>
      <c r="K52" s="134"/>
      <c r="L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X52" s="134"/>
      <c r="Y52" s="134"/>
      <c r="Z52" s="134"/>
      <c r="AA52" s="134"/>
    </row>
    <row r="53" spans="5:27" x14ac:dyDescent="0.2">
      <c r="E53" s="1" t="s">
        <v>200</v>
      </c>
      <c r="F53" s="1" t="s">
        <v>201</v>
      </c>
      <c r="G53" s="1" t="str">
        <f t="shared" si="0"/>
        <v>05E</v>
      </c>
      <c r="H53" s="134"/>
      <c r="I53" s="134"/>
      <c r="J53" s="134"/>
      <c r="K53" s="134"/>
      <c r="L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X53" s="134"/>
      <c r="Y53" s="134"/>
      <c r="Z53" s="134"/>
      <c r="AA53" s="134"/>
    </row>
    <row r="54" spans="5:27" x14ac:dyDescent="0.2">
      <c r="E54" s="1" t="s">
        <v>202</v>
      </c>
      <c r="F54" s="1" t="s">
        <v>203</v>
      </c>
      <c r="G54" s="1" t="str">
        <f t="shared" si="0"/>
        <v>05F</v>
      </c>
      <c r="H54" s="134"/>
      <c r="I54" s="134"/>
      <c r="J54" s="134"/>
      <c r="K54" s="134"/>
      <c r="L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X54" s="134"/>
      <c r="Y54" s="134"/>
      <c r="Z54" s="134"/>
      <c r="AA54" s="134"/>
    </row>
    <row r="55" spans="5:27" x14ac:dyDescent="0.2">
      <c r="E55" s="1" t="s">
        <v>204</v>
      </c>
      <c r="F55" s="1" t="s">
        <v>205</v>
      </c>
      <c r="G55" s="1" t="str">
        <f t="shared" si="0"/>
        <v>05G</v>
      </c>
      <c r="H55" s="134"/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4"/>
      <c r="AA55" s="134"/>
    </row>
    <row r="56" spans="5:27" x14ac:dyDescent="0.2">
      <c r="E56" s="1" t="s">
        <v>206</v>
      </c>
      <c r="F56" s="1" t="s">
        <v>207</v>
      </c>
      <c r="G56" s="1" t="str">
        <f t="shared" si="0"/>
        <v>05H</v>
      </c>
      <c r="H56" s="134"/>
      <c r="I56" s="134"/>
      <c r="J56" s="134"/>
      <c r="K56" s="134"/>
      <c r="L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X56" s="134"/>
      <c r="Y56" s="134"/>
      <c r="Z56" s="134"/>
      <c r="AA56" s="134"/>
    </row>
    <row r="57" spans="5:27" x14ac:dyDescent="0.2">
      <c r="E57" s="1" t="s">
        <v>208</v>
      </c>
      <c r="F57" s="1" t="s">
        <v>209</v>
      </c>
      <c r="G57" s="1" t="str">
        <f t="shared" si="0"/>
        <v>05I</v>
      </c>
      <c r="H57" s="134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</row>
    <row r="58" spans="5:27" x14ac:dyDescent="0.2">
      <c r="E58" s="1" t="s">
        <v>210</v>
      </c>
      <c r="F58" s="1" t="s">
        <v>211</v>
      </c>
      <c r="G58" s="1" t="str">
        <f t="shared" si="0"/>
        <v>05J</v>
      </c>
      <c r="H58" s="134"/>
      <c r="I58" s="134"/>
      <c r="J58" s="134"/>
      <c r="K58" s="134"/>
      <c r="L58" s="134"/>
      <c r="M58" s="134"/>
      <c r="N58" s="134"/>
      <c r="O58" s="134"/>
      <c r="P58" s="134"/>
      <c r="Q58" s="134"/>
      <c r="R58" s="134"/>
      <c r="S58" s="134"/>
      <c r="T58" s="134"/>
      <c r="U58" s="134"/>
      <c r="V58" s="134"/>
      <c r="W58" s="134"/>
      <c r="X58" s="134"/>
      <c r="Y58" s="134"/>
      <c r="Z58" s="134"/>
      <c r="AA58" s="134"/>
    </row>
    <row r="59" spans="5:27" x14ac:dyDescent="0.2">
      <c r="E59" s="1" t="s">
        <v>212</v>
      </c>
      <c r="F59" s="1" t="s">
        <v>213</v>
      </c>
      <c r="G59" s="1" t="str">
        <f t="shared" si="0"/>
        <v>05K</v>
      </c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</row>
    <row r="60" spans="5:27" x14ac:dyDescent="0.2">
      <c r="E60" s="1" t="s">
        <v>214</v>
      </c>
      <c r="F60" s="1" t="s">
        <v>215</v>
      </c>
      <c r="G60" s="1" t="str">
        <f t="shared" si="0"/>
        <v>05L</v>
      </c>
      <c r="H60" s="134"/>
      <c r="I60" s="134"/>
      <c r="J60" s="134"/>
      <c r="K60" s="134"/>
      <c r="L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X60" s="134"/>
      <c r="Y60" s="134"/>
      <c r="Z60" s="134"/>
      <c r="AA60" s="134"/>
    </row>
    <row r="61" spans="5:27" x14ac:dyDescent="0.2">
      <c r="E61" s="1" t="s">
        <v>216</v>
      </c>
      <c r="F61" s="1" t="s">
        <v>217</v>
      </c>
      <c r="G61" s="1" t="str">
        <f t="shared" si="0"/>
        <v>05M</v>
      </c>
      <c r="H61" s="134"/>
      <c r="I61" s="134"/>
      <c r="J61" s="134"/>
      <c r="K61" s="134"/>
      <c r="L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X61" s="134"/>
      <c r="Y61" s="134"/>
      <c r="Z61" s="134"/>
      <c r="AA61" s="134"/>
    </row>
    <row r="62" spans="5:27" x14ac:dyDescent="0.2">
      <c r="E62" s="1" t="s">
        <v>218</v>
      </c>
      <c r="F62" s="1" t="s">
        <v>219</v>
      </c>
      <c r="G62" s="1" t="str">
        <f t="shared" si="0"/>
        <v>05N</v>
      </c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4"/>
      <c r="AA62" s="134"/>
    </row>
    <row r="63" spans="5:27" x14ac:dyDescent="0.2">
      <c r="E63" s="1" t="s">
        <v>220</v>
      </c>
      <c r="F63" s="1" t="s">
        <v>221</v>
      </c>
      <c r="G63" s="1" t="str">
        <f t="shared" si="0"/>
        <v>05O</v>
      </c>
      <c r="H63" s="134"/>
      <c r="I63" s="134"/>
      <c r="J63" s="134"/>
      <c r="K63" s="134"/>
      <c r="L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X63" s="134"/>
      <c r="Y63" s="134"/>
      <c r="Z63" s="134"/>
      <c r="AA63" s="134"/>
    </row>
    <row r="64" spans="5:27" x14ac:dyDescent="0.2">
      <c r="E64" s="1" t="s">
        <v>222</v>
      </c>
      <c r="F64" s="1" t="s">
        <v>223</v>
      </c>
      <c r="G64" s="1" t="str">
        <f t="shared" si="0"/>
        <v>05P</v>
      </c>
      <c r="H64" s="134"/>
      <c r="I64" s="134"/>
      <c r="J64" s="134"/>
      <c r="K64" s="134"/>
      <c r="L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X64" s="134"/>
      <c r="Y64" s="134"/>
      <c r="Z64" s="134"/>
      <c r="AA64" s="134"/>
    </row>
    <row r="65" spans="5:27" x14ac:dyDescent="0.2">
      <c r="E65" s="1" t="s">
        <v>224</v>
      </c>
      <c r="F65" s="1" t="s">
        <v>225</v>
      </c>
      <c r="G65" s="1" t="str">
        <f t="shared" si="0"/>
        <v>05Q</v>
      </c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</row>
    <row r="66" spans="5:27" x14ac:dyDescent="0.2">
      <c r="E66" s="1" t="s">
        <v>226</v>
      </c>
      <c r="F66" s="1" t="s">
        <v>227</v>
      </c>
      <c r="G66" s="1" t="str">
        <f t="shared" si="0"/>
        <v>05R</v>
      </c>
      <c r="H66" s="134"/>
      <c r="I66" s="134"/>
      <c r="J66" s="134"/>
      <c r="K66" s="134"/>
      <c r="L66" s="134"/>
      <c r="M66" s="134"/>
      <c r="N66" s="134"/>
      <c r="O66" s="134"/>
      <c r="P66" s="134"/>
      <c r="Q66" s="134"/>
      <c r="R66" s="134"/>
      <c r="S66" s="134"/>
      <c r="T66" s="134"/>
      <c r="U66" s="134"/>
      <c r="V66" s="134"/>
      <c r="W66" s="134"/>
      <c r="X66" s="134"/>
      <c r="Y66" s="134"/>
      <c r="Z66" s="134"/>
      <c r="AA66" s="134"/>
    </row>
    <row r="67" spans="5:27" x14ac:dyDescent="0.2">
      <c r="E67" s="1" t="s">
        <v>228</v>
      </c>
      <c r="F67" s="1" t="s">
        <v>229</v>
      </c>
      <c r="G67" s="1" t="str">
        <f t="shared" ref="G67:G130" si="1">E67</f>
        <v>05S</v>
      </c>
      <c r="H67" s="134"/>
      <c r="I67" s="134"/>
      <c r="J67" s="134"/>
      <c r="K67" s="134"/>
      <c r="L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X67" s="134"/>
      <c r="Y67" s="134"/>
      <c r="Z67" s="134"/>
      <c r="AA67" s="134"/>
    </row>
    <row r="68" spans="5:27" x14ac:dyDescent="0.2">
      <c r="E68" s="1" t="s">
        <v>230</v>
      </c>
      <c r="F68" s="1" t="s">
        <v>231</v>
      </c>
      <c r="G68" s="1" t="str">
        <f t="shared" si="1"/>
        <v>05T</v>
      </c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4"/>
      <c r="AA68" s="134"/>
    </row>
    <row r="69" spans="5:27" x14ac:dyDescent="0.2">
      <c r="E69" s="1" t="s">
        <v>232</v>
      </c>
      <c r="F69" s="1" t="s">
        <v>233</v>
      </c>
      <c r="G69" s="1" t="str">
        <f t="shared" si="1"/>
        <v>05U</v>
      </c>
      <c r="H69" s="134"/>
      <c r="I69" s="134"/>
      <c r="J69" s="134"/>
      <c r="K69" s="134"/>
      <c r="L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X69" s="134"/>
      <c r="Y69" s="134"/>
      <c r="Z69" s="134"/>
      <c r="AA69" s="134"/>
    </row>
    <row r="70" spans="5:27" x14ac:dyDescent="0.2">
      <c r="E70" s="1" t="s">
        <v>234</v>
      </c>
      <c r="F70" s="1" t="s">
        <v>235</v>
      </c>
      <c r="G70" s="1" t="str">
        <f t="shared" si="1"/>
        <v>05V</v>
      </c>
      <c r="H70" s="134"/>
      <c r="I70" s="134"/>
      <c r="J70" s="134"/>
      <c r="K70" s="134"/>
      <c r="L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X70" s="134"/>
      <c r="Y70" s="134"/>
      <c r="Z70" s="134"/>
      <c r="AA70" s="134"/>
    </row>
    <row r="71" spans="5:27" x14ac:dyDescent="0.2">
      <c r="E71" s="1" t="s">
        <v>236</v>
      </c>
      <c r="F71" s="1" t="s">
        <v>237</v>
      </c>
      <c r="G71" s="1" t="str">
        <f t="shared" si="1"/>
        <v>05W</v>
      </c>
      <c r="H71" s="134"/>
      <c r="I71" s="134"/>
      <c r="J71" s="134"/>
      <c r="K71" s="134"/>
      <c r="L71" s="134"/>
      <c r="M71" s="134"/>
      <c r="N71" s="134"/>
      <c r="O71" s="134"/>
      <c r="P71" s="134"/>
      <c r="Q71" s="134"/>
      <c r="R71" s="134"/>
      <c r="S71" s="134"/>
      <c r="T71" s="134"/>
      <c r="U71" s="134"/>
      <c r="V71" s="134"/>
      <c r="W71" s="134"/>
      <c r="X71" s="134"/>
      <c r="Y71" s="134"/>
      <c r="Z71" s="134"/>
      <c r="AA71" s="134"/>
    </row>
    <row r="72" spans="5:27" x14ac:dyDescent="0.2">
      <c r="E72" s="1" t="s">
        <v>238</v>
      </c>
      <c r="F72" s="1" t="s">
        <v>239</v>
      </c>
      <c r="G72" s="1" t="str">
        <f t="shared" si="1"/>
        <v>05X</v>
      </c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/>
      <c r="Z72" s="134"/>
      <c r="AA72" s="134"/>
    </row>
    <row r="73" spans="5:27" x14ac:dyDescent="0.2">
      <c r="E73" s="1" t="s">
        <v>240</v>
      </c>
      <c r="F73" s="1" t="s">
        <v>241</v>
      </c>
      <c r="G73" s="1" t="str">
        <f t="shared" si="1"/>
        <v>05Y</v>
      </c>
      <c r="H73" s="134"/>
      <c r="I73" s="134"/>
      <c r="J73" s="134"/>
      <c r="K73" s="134"/>
      <c r="L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X73" s="134"/>
      <c r="Y73" s="134"/>
      <c r="Z73" s="134"/>
      <c r="AA73" s="134"/>
    </row>
    <row r="74" spans="5:27" x14ac:dyDescent="0.2">
      <c r="E74" s="1" t="s">
        <v>242</v>
      </c>
      <c r="F74" s="1" t="s">
        <v>243</v>
      </c>
      <c r="G74" s="1" t="str">
        <f t="shared" si="1"/>
        <v>05Z</v>
      </c>
      <c r="H74" s="134"/>
      <c r="I74" s="134"/>
      <c r="J74" s="134"/>
      <c r="K74" s="134"/>
      <c r="L74" s="134"/>
      <c r="M74" s="134"/>
      <c r="N74" s="134"/>
      <c r="O74" s="134"/>
      <c r="P74" s="134"/>
      <c r="Q74" s="134"/>
      <c r="R74" s="134"/>
      <c r="S74" s="134"/>
      <c r="T74" s="134"/>
      <c r="U74" s="134"/>
      <c r="V74" s="134"/>
      <c r="W74" s="134"/>
      <c r="X74" s="134"/>
      <c r="Y74" s="134"/>
      <c r="Z74" s="134"/>
      <c r="AA74" s="134"/>
    </row>
    <row r="75" spans="5:27" x14ac:dyDescent="0.2">
      <c r="E75" s="1" t="s">
        <v>244</v>
      </c>
      <c r="F75" s="1" t="s">
        <v>245</v>
      </c>
      <c r="G75" s="1" t="str">
        <f t="shared" si="1"/>
        <v>05AA</v>
      </c>
      <c r="H75" s="134"/>
      <c r="I75" s="134"/>
      <c r="J75" s="134"/>
      <c r="K75" s="134"/>
      <c r="L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X75" s="134"/>
      <c r="Y75" s="134"/>
      <c r="Z75" s="134"/>
      <c r="AA75" s="134"/>
    </row>
    <row r="76" spans="5:27" x14ac:dyDescent="0.2">
      <c r="E76" s="1" t="s">
        <v>246</v>
      </c>
      <c r="F76" s="1" t="s">
        <v>247</v>
      </c>
      <c r="G76" s="1" t="str">
        <f t="shared" si="1"/>
        <v>05AB</v>
      </c>
      <c r="H76" s="134"/>
      <c r="I76" s="134"/>
      <c r="J76" s="134"/>
      <c r="K76" s="134"/>
      <c r="L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X76" s="134"/>
      <c r="Y76" s="134"/>
      <c r="Z76" s="134"/>
      <c r="AA76" s="134"/>
    </row>
    <row r="77" spans="5:27" x14ac:dyDescent="0.2">
      <c r="E77" s="1" t="s">
        <v>248</v>
      </c>
      <c r="F77" s="1" t="s">
        <v>249</v>
      </c>
      <c r="G77" s="1" t="str">
        <f t="shared" si="1"/>
        <v>05AC</v>
      </c>
      <c r="H77" s="134"/>
      <c r="I77" s="134"/>
      <c r="J77" s="134"/>
      <c r="K77" s="134"/>
      <c r="L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X77" s="134"/>
      <c r="Y77" s="134"/>
      <c r="Z77" s="134"/>
      <c r="AA77" s="134"/>
    </row>
    <row r="78" spans="5:27" x14ac:dyDescent="0.2">
      <c r="E78" s="1" t="s">
        <v>250</v>
      </c>
      <c r="F78" s="1" t="s">
        <v>251</v>
      </c>
      <c r="G78" s="1" t="str">
        <f t="shared" si="1"/>
        <v>05AD</v>
      </c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/>
      <c r="Z78" s="134"/>
      <c r="AA78" s="134"/>
    </row>
    <row r="79" spans="5:27" x14ac:dyDescent="0.2">
      <c r="E79" s="1" t="s">
        <v>252</v>
      </c>
      <c r="F79" s="1" t="s">
        <v>253</v>
      </c>
      <c r="G79" s="1" t="str">
        <f t="shared" si="1"/>
        <v>05AE</v>
      </c>
      <c r="H79" s="134"/>
      <c r="I79" s="134"/>
      <c r="J79" s="134"/>
      <c r="K79" s="134"/>
      <c r="L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X79" s="134"/>
      <c r="Y79" s="134"/>
      <c r="Z79" s="134"/>
      <c r="AA79" s="134"/>
    </row>
    <row r="80" spans="5:27" x14ac:dyDescent="0.2">
      <c r="E80" s="1" t="s">
        <v>254</v>
      </c>
      <c r="F80" s="1" t="s">
        <v>255</v>
      </c>
      <c r="G80" s="1" t="str">
        <f t="shared" si="1"/>
        <v>05AF</v>
      </c>
      <c r="H80" s="134"/>
      <c r="I80" s="134"/>
      <c r="J80" s="134"/>
      <c r="K80" s="134"/>
      <c r="L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X80" s="134"/>
      <c r="Y80" s="134"/>
      <c r="Z80" s="134"/>
      <c r="AA80" s="134"/>
    </row>
    <row r="81" spans="5:27" x14ac:dyDescent="0.2">
      <c r="E81" s="1" t="s">
        <v>256</v>
      </c>
      <c r="F81" s="1" t="s">
        <v>257</v>
      </c>
      <c r="G81" s="1" t="str">
        <f t="shared" si="1"/>
        <v>05AG</v>
      </c>
      <c r="H81" s="134"/>
      <c r="I81" s="134"/>
      <c r="J81" s="134"/>
      <c r="K81" s="134"/>
      <c r="L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X81" s="134"/>
      <c r="Y81" s="134"/>
      <c r="Z81" s="134"/>
      <c r="AA81" s="134"/>
    </row>
    <row r="82" spans="5:27" x14ac:dyDescent="0.2">
      <c r="E82" s="1" t="s">
        <v>258</v>
      </c>
      <c r="F82" s="1" t="s">
        <v>259</v>
      </c>
      <c r="G82" s="1" t="str">
        <f t="shared" si="1"/>
        <v>06A</v>
      </c>
      <c r="H82" s="134"/>
      <c r="I82" s="134"/>
      <c r="J82" s="134"/>
      <c r="K82" s="134"/>
      <c r="L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X82" s="134"/>
      <c r="Y82" s="134"/>
      <c r="Z82" s="134"/>
      <c r="AA82" s="134"/>
    </row>
    <row r="83" spans="5:27" x14ac:dyDescent="0.2">
      <c r="E83" s="1" t="s">
        <v>260</v>
      </c>
      <c r="F83" s="1" t="s">
        <v>261</v>
      </c>
      <c r="G83" s="1" t="str">
        <f t="shared" si="1"/>
        <v>06B</v>
      </c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4"/>
      <c r="AA83" s="134"/>
    </row>
    <row r="84" spans="5:27" x14ac:dyDescent="0.2">
      <c r="E84" s="1" t="s">
        <v>262</v>
      </c>
      <c r="F84" s="1" t="s">
        <v>263</v>
      </c>
      <c r="G84" s="1" t="str">
        <f t="shared" si="1"/>
        <v>06C</v>
      </c>
      <c r="H84" s="134"/>
      <c r="I84" s="134"/>
      <c r="J84" s="134"/>
      <c r="K84" s="134"/>
      <c r="L84" s="134"/>
      <c r="M84" s="134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X84" s="134"/>
      <c r="Y84" s="134"/>
      <c r="Z84" s="134"/>
      <c r="AA84" s="134"/>
    </row>
    <row r="85" spans="5:27" x14ac:dyDescent="0.2">
      <c r="E85" s="1" t="s">
        <v>264</v>
      </c>
      <c r="F85" s="1" t="s">
        <v>265</v>
      </c>
      <c r="G85" s="1" t="str">
        <f t="shared" si="1"/>
        <v>06D</v>
      </c>
      <c r="H85" s="134"/>
      <c r="I85" s="134"/>
      <c r="J85" s="134"/>
      <c r="K85" s="134"/>
      <c r="L85" s="134"/>
      <c r="M85" s="134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X85" s="134"/>
      <c r="Y85" s="134"/>
      <c r="Z85" s="134"/>
      <c r="AA85" s="134"/>
    </row>
    <row r="86" spans="5:27" x14ac:dyDescent="0.2">
      <c r="E86" s="1" t="s">
        <v>266</v>
      </c>
      <c r="F86" s="1" t="s">
        <v>267</v>
      </c>
      <c r="G86" s="1" t="str">
        <f t="shared" si="1"/>
        <v>06E</v>
      </c>
      <c r="H86" s="134"/>
      <c r="I86" s="134"/>
      <c r="J86" s="134"/>
      <c r="K86" s="134"/>
      <c r="L86" s="134"/>
      <c r="M86" s="134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X86" s="134"/>
      <c r="Y86" s="134"/>
      <c r="Z86" s="134"/>
      <c r="AA86" s="134"/>
    </row>
    <row r="87" spans="5:27" x14ac:dyDescent="0.2">
      <c r="E87" s="1" t="s">
        <v>268</v>
      </c>
      <c r="F87" s="1" t="s">
        <v>269</v>
      </c>
      <c r="G87" s="1" t="str">
        <f t="shared" si="1"/>
        <v>06F</v>
      </c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4"/>
      <c r="AA87" s="134"/>
    </row>
    <row r="88" spans="5:27" x14ac:dyDescent="0.2">
      <c r="E88" s="1" t="s">
        <v>270</v>
      </c>
      <c r="F88" s="1" t="s">
        <v>271</v>
      </c>
      <c r="G88" s="1" t="str">
        <f t="shared" si="1"/>
        <v>06G</v>
      </c>
      <c r="H88" s="134"/>
      <c r="I88" s="134"/>
      <c r="J88" s="134"/>
      <c r="K88" s="134"/>
      <c r="L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X88" s="134"/>
      <c r="Y88" s="134"/>
      <c r="Z88" s="134"/>
      <c r="AA88" s="134"/>
    </row>
    <row r="89" spans="5:27" x14ac:dyDescent="0.2">
      <c r="E89" s="1" t="s">
        <v>272</v>
      </c>
      <c r="F89" s="1" t="s">
        <v>273</v>
      </c>
      <c r="G89" s="1" t="str">
        <f t="shared" si="1"/>
        <v>07A</v>
      </c>
      <c r="H89" s="134"/>
      <c r="I89" s="134"/>
      <c r="J89" s="134"/>
      <c r="K89" s="134"/>
      <c r="L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X89" s="134"/>
      <c r="Y89" s="134"/>
      <c r="Z89" s="134"/>
      <c r="AA89" s="134"/>
    </row>
    <row r="90" spans="5:27" x14ac:dyDescent="0.2">
      <c r="E90" s="1" t="s">
        <v>274</v>
      </c>
      <c r="F90" s="1" t="s">
        <v>275</v>
      </c>
      <c r="G90" s="1" t="str">
        <f t="shared" si="1"/>
        <v>07B</v>
      </c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</row>
    <row r="91" spans="5:27" x14ac:dyDescent="0.2">
      <c r="E91" s="1" t="s">
        <v>276</v>
      </c>
      <c r="F91" s="1" t="s">
        <v>277</v>
      </c>
      <c r="G91" s="1" t="str">
        <f t="shared" si="1"/>
        <v>07C</v>
      </c>
      <c r="H91" s="134"/>
      <c r="I91" s="134"/>
      <c r="J91" s="134"/>
      <c r="K91" s="134"/>
      <c r="L91" s="134"/>
      <c r="M91" s="134"/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X91" s="134"/>
      <c r="Y91" s="134"/>
      <c r="Z91" s="134"/>
      <c r="AA91" s="134"/>
    </row>
    <row r="92" spans="5:27" x14ac:dyDescent="0.2">
      <c r="E92" s="1" t="s">
        <v>278</v>
      </c>
      <c r="F92" s="1" t="s">
        <v>279</v>
      </c>
      <c r="G92" s="1" t="str">
        <f t="shared" si="1"/>
        <v>07D</v>
      </c>
      <c r="H92" s="134"/>
      <c r="I92" s="134"/>
      <c r="J92" s="134"/>
      <c r="K92" s="134"/>
      <c r="L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X92" s="134"/>
      <c r="Y92" s="134"/>
      <c r="Z92" s="134"/>
      <c r="AA92" s="134"/>
    </row>
    <row r="93" spans="5:27" x14ac:dyDescent="0.2">
      <c r="E93" s="1" t="s">
        <v>280</v>
      </c>
      <c r="F93" s="1" t="s">
        <v>281</v>
      </c>
      <c r="G93" s="1" t="str">
        <f t="shared" si="1"/>
        <v>07E</v>
      </c>
      <c r="H93" s="134"/>
      <c r="I93" s="134"/>
      <c r="J93" s="134"/>
      <c r="K93" s="134"/>
      <c r="L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/>
      <c r="Z93" s="134"/>
      <c r="AA93" s="134"/>
    </row>
    <row r="94" spans="5:27" x14ac:dyDescent="0.2">
      <c r="E94" s="1" t="s">
        <v>282</v>
      </c>
      <c r="F94" s="1" t="s">
        <v>283</v>
      </c>
      <c r="G94" s="1" t="str">
        <f t="shared" si="1"/>
        <v>07F</v>
      </c>
      <c r="H94" s="134"/>
      <c r="I94" s="134"/>
      <c r="J94" s="134"/>
      <c r="K94" s="134"/>
      <c r="L94" s="134"/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X94" s="134"/>
      <c r="Y94" s="134"/>
      <c r="Z94" s="134"/>
      <c r="AA94" s="134"/>
    </row>
    <row r="95" spans="5:27" x14ac:dyDescent="0.2">
      <c r="E95" s="1" t="s">
        <v>284</v>
      </c>
      <c r="F95" s="1" t="s">
        <v>285</v>
      </c>
      <c r="G95" s="1" t="str">
        <f t="shared" si="1"/>
        <v>07G</v>
      </c>
      <c r="H95" s="134"/>
      <c r="I95" s="134"/>
      <c r="J95" s="134"/>
      <c r="K95" s="134"/>
      <c r="L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X95" s="134"/>
      <c r="Y95" s="134"/>
      <c r="Z95" s="134"/>
      <c r="AA95" s="134"/>
    </row>
    <row r="96" spans="5:27" x14ac:dyDescent="0.2">
      <c r="E96" s="1" t="s">
        <v>286</v>
      </c>
      <c r="F96" s="1" t="s">
        <v>287</v>
      </c>
      <c r="G96" s="1" t="str">
        <f t="shared" si="1"/>
        <v>07H</v>
      </c>
      <c r="H96" s="134"/>
      <c r="I96" s="134"/>
      <c r="J96" s="134"/>
      <c r="K96" s="134"/>
      <c r="L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X96" s="134"/>
      <c r="Y96" s="134"/>
      <c r="Z96" s="134"/>
      <c r="AA96" s="134"/>
    </row>
    <row r="97" spans="5:27" x14ac:dyDescent="0.2">
      <c r="E97" s="1" t="s">
        <v>288</v>
      </c>
      <c r="F97" s="1" t="s">
        <v>289</v>
      </c>
      <c r="G97" s="1" t="str">
        <f t="shared" si="1"/>
        <v>07I</v>
      </c>
      <c r="H97" s="134"/>
      <c r="I97" s="134"/>
      <c r="J97" s="134"/>
      <c r="K97" s="134"/>
      <c r="L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X97" s="134"/>
      <c r="Y97" s="134"/>
      <c r="Z97" s="134"/>
      <c r="AA97" s="134"/>
    </row>
    <row r="98" spans="5:27" x14ac:dyDescent="0.2">
      <c r="E98" s="1" t="s">
        <v>290</v>
      </c>
      <c r="F98" s="1" t="s">
        <v>291</v>
      </c>
      <c r="G98" s="1" t="str">
        <f t="shared" si="1"/>
        <v>07J</v>
      </c>
      <c r="H98" s="134"/>
      <c r="I98" s="134"/>
      <c r="J98" s="134"/>
      <c r="K98" s="134"/>
      <c r="L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X98" s="134"/>
      <c r="Y98" s="134"/>
      <c r="Z98" s="134"/>
      <c r="AA98" s="134"/>
    </row>
    <row r="99" spans="5:27" x14ac:dyDescent="0.2">
      <c r="E99" s="1" t="s">
        <v>292</v>
      </c>
      <c r="F99" s="1" t="s">
        <v>293</v>
      </c>
      <c r="G99" s="1" t="str">
        <f t="shared" si="1"/>
        <v>07K</v>
      </c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4"/>
      <c r="AA99" s="134"/>
    </row>
    <row r="100" spans="5:27" x14ac:dyDescent="0.2">
      <c r="E100" s="1" t="s">
        <v>294</v>
      </c>
      <c r="F100" s="1" t="s">
        <v>295</v>
      </c>
      <c r="G100" s="1" t="str">
        <f t="shared" si="1"/>
        <v>07L</v>
      </c>
      <c r="H100" s="134"/>
      <c r="I100" s="134"/>
      <c r="J100" s="134"/>
      <c r="K100" s="134"/>
      <c r="L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X100" s="134"/>
      <c r="Y100" s="134"/>
      <c r="Z100" s="134"/>
      <c r="AA100" s="134"/>
    </row>
    <row r="101" spans="5:27" x14ac:dyDescent="0.2">
      <c r="E101" s="1" t="s">
        <v>296</v>
      </c>
      <c r="F101" s="1" t="s">
        <v>297</v>
      </c>
      <c r="G101" s="1" t="str">
        <f t="shared" si="1"/>
        <v>08A</v>
      </c>
      <c r="H101" s="134"/>
      <c r="I101" s="134"/>
      <c r="J101" s="134"/>
      <c r="K101" s="134"/>
      <c r="L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X101" s="134"/>
      <c r="Y101" s="134"/>
      <c r="Z101" s="134"/>
      <c r="AA101" s="134"/>
    </row>
    <row r="102" spans="5:27" x14ac:dyDescent="0.2">
      <c r="E102" s="1" t="s">
        <v>298</v>
      </c>
      <c r="F102" s="1" t="s">
        <v>299</v>
      </c>
      <c r="G102" s="1" t="str">
        <f t="shared" si="1"/>
        <v>08B</v>
      </c>
      <c r="H102" s="134"/>
      <c r="I102" s="134"/>
      <c r="J102" s="134"/>
      <c r="K102" s="134"/>
      <c r="L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X102" s="134"/>
      <c r="Y102" s="134"/>
      <c r="Z102" s="134"/>
      <c r="AA102" s="134"/>
    </row>
    <row r="103" spans="5:27" x14ac:dyDescent="0.2">
      <c r="E103" s="1" t="s">
        <v>300</v>
      </c>
      <c r="F103" s="1" t="s">
        <v>301</v>
      </c>
      <c r="G103" s="1" t="str">
        <f t="shared" si="1"/>
        <v>08C</v>
      </c>
      <c r="H103" s="134"/>
      <c r="I103" s="134"/>
      <c r="J103" s="134"/>
      <c r="K103" s="134"/>
      <c r="L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X103" s="134"/>
      <c r="Y103" s="134"/>
      <c r="Z103" s="134"/>
      <c r="AA103" s="134"/>
    </row>
    <row r="104" spans="5:27" x14ac:dyDescent="0.2">
      <c r="E104" s="1" t="s">
        <v>302</v>
      </c>
      <c r="F104" s="1" t="s">
        <v>303</v>
      </c>
      <c r="G104" s="1" t="str">
        <f t="shared" si="1"/>
        <v>08D</v>
      </c>
      <c r="H104" s="134"/>
      <c r="I104" s="134"/>
      <c r="J104" s="134"/>
      <c r="K104" s="134"/>
      <c r="L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X104" s="134"/>
      <c r="Y104" s="134"/>
      <c r="Z104" s="134"/>
      <c r="AA104" s="134"/>
    </row>
    <row r="105" spans="5:27" x14ac:dyDescent="0.2">
      <c r="E105" s="1" t="s">
        <v>304</v>
      </c>
      <c r="F105" s="1" t="s">
        <v>305</v>
      </c>
      <c r="G105" s="1" t="str">
        <f t="shared" si="1"/>
        <v>08E</v>
      </c>
      <c r="H105" s="134"/>
      <c r="I105" s="134"/>
      <c r="J105" s="134"/>
      <c r="K105" s="134"/>
      <c r="L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X105" s="134"/>
      <c r="Y105" s="134"/>
      <c r="Z105" s="134"/>
      <c r="AA105" s="134"/>
    </row>
    <row r="106" spans="5:27" x14ac:dyDescent="0.2">
      <c r="E106" s="1" t="s">
        <v>306</v>
      </c>
      <c r="F106" s="1" t="s">
        <v>307</v>
      </c>
      <c r="G106" s="1" t="str">
        <f t="shared" si="1"/>
        <v>08F</v>
      </c>
      <c r="H106" s="134"/>
      <c r="I106" s="134"/>
      <c r="J106" s="134"/>
      <c r="K106" s="134"/>
      <c r="L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X106" s="134"/>
      <c r="Y106" s="134"/>
      <c r="Z106" s="134"/>
      <c r="AA106" s="134"/>
    </row>
    <row r="107" spans="5:27" x14ac:dyDescent="0.2">
      <c r="E107" s="1" t="s">
        <v>308</v>
      </c>
      <c r="F107" s="1" t="s">
        <v>309</v>
      </c>
      <c r="G107" s="1" t="str">
        <f t="shared" si="1"/>
        <v>09A</v>
      </c>
      <c r="H107" s="134"/>
      <c r="I107" s="134"/>
      <c r="J107" s="134"/>
      <c r="K107" s="134"/>
      <c r="L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X107" s="134"/>
      <c r="Y107" s="134"/>
      <c r="Z107" s="134"/>
      <c r="AA107" s="134"/>
    </row>
    <row r="108" spans="5:27" x14ac:dyDescent="0.2">
      <c r="E108" s="1" t="s">
        <v>310</v>
      </c>
      <c r="F108" s="1" t="s">
        <v>311</v>
      </c>
      <c r="G108" s="1" t="str">
        <f t="shared" si="1"/>
        <v>09B</v>
      </c>
      <c r="H108" s="134"/>
      <c r="I108" s="134"/>
      <c r="J108" s="134"/>
      <c r="K108" s="134"/>
      <c r="L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X108" s="134"/>
      <c r="Y108" s="134"/>
      <c r="Z108" s="134"/>
      <c r="AA108" s="134"/>
    </row>
    <row r="109" spans="5:27" x14ac:dyDescent="0.2">
      <c r="E109" s="1" t="s">
        <v>312</v>
      </c>
      <c r="F109" s="1" t="s">
        <v>313</v>
      </c>
      <c r="G109" s="1" t="str">
        <f t="shared" si="1"/>
        <v>09C</v>
      </c>
      <c r="H109" s="134"/>
      <c r="I109" s="134"/>
      <c r="J109" s="134"/>
      <c r="K109" s="134"/>
      <c r="L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X109" s="134"/>
      <c r="Y109" s="134"/>
      <c r="Z109" s="134"/>
      <c r="AA109" s="134"/>
    </row>
    <row r="110" spans="5:27" x14ac:dyDescent="0.2">
      <c r="E110" s="1" t="s">
        <v>314</v>
      </c>
      <c r="F110" s="1" t="s">
        <v>315</v>
      </c>
      <c r="G110" s="1" t="str">
        <f t="shared" si="1"/>
        <v>09D</v>
      </c>
      <c r="H110" s="134"/>
      <c r="I110" s="134"/>
      <c r="J110" s="134"/>
      <c r="K110" s="134"/>
      <c r="L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X110" s="134"/>
      <c r="Y110" s="134"/>
      <c r="Z110" s="134"/>
      <c r="AA110" s="134"/>
    </row>
    <row r="111" spans="5:27" x14ac:dyDescent="0.2">
      <c r="E111" s="1" t="s">
        <v>316</v>
      </c>
      <c r="F111" s="1" t="s">
        <v>317</v>
      </c>
      <c r="G111" s="1" t="str">
        <f t="shared" si="1"/>
        <v>09E</v>
      </c>
      <c r="H111" s="134"/>
      <c r="I111" s="134"/>
      <c r="J111" s="134"/>
      <c r="K111" s="134"/>
      <c r="L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X111" s="134"/>
      <c r="Y111" s="134"/>
      <c r="Z111" s="134"/>
      <c r="AA111" s="134"/>
    </row>
    <row r="112" spans="5:27" x14ac:dyDescent="0.2">
      <c r="E112" s="1" t="s">
        <v>318</v>
      </c>
      <c r="F112" s="1" t="s">
        <v>319</v>
      </c>
      <c r="G112" s="1" t="str">
        <f t="shared" si="1"/>
        <v>09F</v>
      </c>
      <c r="H112" s="134"/>
      <c r="I112" s="134"/>
      <c r="J112" s="134"/>
      <c r="K112" s="134"/>
      <c r="L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X112" s="134"/>
      <c r="Y112" s="134"/>
      <c r="Z112" s="134"/>
      <c r="AA112" s="134"/>
    </row>
    <row r="113" spans="5:27" x14ac:dyDescent="0.2">
      <c r="E113" s="1" t="s">
        <v>320</v>
      </c>
      <c r="F113" s="1" t="s">
        <v>321</v>
      </c>
      <c r="G113" s="1" t="str">
        <f t="shared" si="1"/>
        <v>09G</v>
      </c>
      <c r="H113" s="134"/>
      <c r="I113" s="134"/>
      <c r="J113" s="134"/>
      <c r="K113" s="134"/>
      <c r="L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X113" s="134"/>
      <c r="Y113" s="134"/>
      <c r="Z113" s="134"/>
      <c r="AA113" s="134"/>
    </row>
    <row r="114" spans="5:27" x14ac:dyDescent="0.2">
      <c r="E114" s="1" t="s">
        <v>322</v>
      </c>
      <c r="F114" s="1" t="s">
        <v>323</v>
      </c>
      <c r="G114" s="1" t="str">
        <f t="shared" si="1"/>
        <v>09H</v>
      </c>
      <c r="H114" s="134"/>
      <c r="I114" s="134"/>
      <c r="J114" s="134"/>
      <c r="K114" s="134"/>
      <c r="L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X114" s="134"/>
      <c r="Y114" s="134"/>
      <c r="Z114" s="134"/>
      <c r="AA114" s="134"/>
    </row>
    <row r="115" spans="5:27" x14ac:dyDescent="0.2">
      <c r="E115" s="1" t="s">
        <v>324</v>
      </c>
      <c r="F115" s="1" t="s">
        <v>325</v>
      </c>
      <c r="G115" s="1" t="str">
        <f t="shared" si="1"/>
        <v>10A</v>
      </c>
      <c r="H115" s="134"/>
      <c r="I115" s="134"/>
      <c r="J115" s="134"/>
      <c r="K115" s="134"/>
      <c r="L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X115" s="134"/>
      <c r="Y115" s="134"/>
      <c r="Z115" s="134"/>
      <c r="AA115" s="134"/>
    </row>
    <row r="116" spans="5:27" x14ac:dyDescent="0.2">
      <c r="E116" s="1" t="s">
        <v>326</v>
      </c>
      <c r="F116" s="1" t="s">
        <v>327</v>
      </c>
      <c r="G116" s="1" t="str">
        <f t="shared" si="1"/>
        <v>10B</v>
      </c>
      <c r="H116" s="134"/>
      <c r="I116" s="134"/>
      <c r="J116" s="134"/>
      <c r="K116" s="134"/>
      <c r="L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X116" s="134"/>
      <c r="Y116" s="134"/>
      <c r="Z116" s="134"/>
      <c r="AA116" s="134"/>
    </row>
    <row r="117" spans="5:27" x14ac:dyDescent="0.2">
      <c r="E117" s="1" t="s">
        <v>328</v>
      </c>
      <c r="F117" s="1" t="s">
        <v>329</v>
      </c>
      <c r="G117" s="1" t="str">
        <f t="shared" si="1"/>
        <v>10C</v>
      </c>
      <c r="H117" s="134"/>
      <c r="I117" s="134"/>
      <c r="J117" s="134"/>
      <c r="K117" s="134"/>
      <c r="L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X117" s="134"/>
      <c r="Y117" s="134"/>
      <c r="Z117" s="134"/>
      <c r="AA117" s="134"/>
    </row>
    <row r="118" spans="5:27" x14ac:dyDescent="0.2">
      <c r="E118" s="1" t="s">
        <v>330</v>
      </c>
      <c r="F118" s="1" t="s">
        <v>331</v>
      </c>
      <c r="G118" s="1" t="str">
        <f t="shared" si="1"/>
        <v>10D</v>
      </c>
      <c r="H118" s="134"/>
      <c r="I118" s="134"/>
      <c r="J118" s="134"/>
      <c r="K118" s="134"/>
      <c r="L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X118" s="134"/>
      <c r="Y118" s="134"/>
      <c r="Z118" s="134"/>
      <c r="AA118" s="134"/>
    </row>
    <row r="119" spans="5:27" x14ac:dyDescent="0.2">
      <c r="E119" s="1" t="s">
        <v>332</v>
      </c>
      <c r="F119" s="1" t="s">
        <v>333</v>
      </c>
      <c r="G119" s="1" t="str">
        <f t="shared" si="1"/>
        <v>10E</v>
      </c>
      <c r="H119" s="134"/>
      <c r="I119" s="134"/>
      <c r="J119" s="134"/>
      <c r="K119" s="134"/>
      <c r="L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X119" s="134"/>
      <c r="Y119" s="134"/>
      <c r="Z119" s="134"/>
      <c r="AA119" s="134"/>
    </row>
    <row r="120" spans="5:27" x14ac:dyDescent="0.2">
      <c r="E120" s="1" t="s">
        <v>334</v>
      </c>
      <c r="F120" s="1" t="s">
        <v>335</v>
      </c>
      <c r="G120" s="1" t="str">
        <f t="shared" si="1"/>
        <v>10F</v>
      </c>
      <c r="H120" s="134"/>
      <c r="I120" s="134"/>
      <c r="J120" s="134"/>
      <c r="K120" s="134"/>
      <c r="L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X120" s="134"/>
      <c r="Y120" s="134"/>
      <c r="Z120" s="134"/>
      <c r="AA120" s="134"/>
    </row>
    <row r="121" spans="5:27" x14ac:dyDescent="0.2">
      <c r="E121" s="1" t="s">
        <v>336</v>
      </c>
      <c r="F121" s="1" t="s">
        <v>337</v>
      </c>
      <c r="G121" s="1" t="str">
        <f t="shared" si="1"/>
        <v>10G</v>
      </c>
      <c r="H121" s="134"/>
      <c r="I121" s="134"/>
      <c r="J121" s="134"/>
      <c r="K121" s="134"/>
      <c r="L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X121" s="134"/>
      <c r="Y121" s="134"/>
      <c r="Z121" s="134"/>
      <c r="AA121" s="134"/>
    </row>
    <row r="122" spans="5:27" x14ac:dyDescent="0.2">
      <c r="E122" s="1" t="s">
        <v>338</v>
      </c>
      <c r="F122" s="1" t="s">
        <v>339</v>
      </c>
      <c r="G122" s="1" t="str">
        <f t="shared" si="1"/>
        <v>10H</v>
      </c>
      <c r="H122" s="134"/>
      <c r="I122" s="134"/>
      <c r="J122" s="134"/>
      <c r="K122" s="134"/>
      <c r="L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  <c r="AA122" s="134"/>
    </row>
    <row r="123" spans="5:27" x14ac:dyDescent="0.2">
      <c r="E123" s="1" t="s">
        <v>340</v>
      </c>
      <c r="F123" s="1" t="s">
        <v>341</v>
      </c>
      <c r="G123" s="1" t="str">
        <f t="shared" si="1"/>
        <v>10I</v>
      </c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X123" s="134"/>
      <c r="Y123" s="134"/>
      <c r="Z123" s="134"/>
      <c r="AA123" s="134"/>
    </row>
    <row r="124" spans="5:27" x14ac:dyDescent="0.2">
      <c r="E124" s="1" t="s">
        <v>342</v>
      </c>
      <c r="F124" s="1" t="s">
        <v>343</v>
      </c>
      <c r="G124" s="1" t="str">
        <f t="shared" si="1"/>
        <v>10J</v>
      </c>
      <c r="H124" s="134"/>
      <c r="I124" s="134"/>
      <c r="J124" s="134"/>
      <c r="K124" s="134"/>
      <c r="L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X124" s="134"/>
      <c r="Y124" s="134"/>
      <c r="Z124" s="134"/>
      <c r="AA124" s="134"/>
    </row>
    <row r="125" spans="5:27" x14ac:dyDescent="0.2">
      <c r="E125" s="1" t="s">
        <v>344</v>
      </c>
      <c r="F125" s="1" t="s">
        <v>345</v>
      </c>
      <c r="G125" s="1" t="str">
        <f t="shared" si="1"/>
        <v>10K</v>
      </c>
      <c r="H125" s="134"/>
      <c r="I125" s="134"/>
      <c r="J125" s="134"/>
      <c r="K125" s="134"/>
      <c r="L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X125" s="134"/>
      <c r="Y125" s="134"/>
      <c r="Z125" s="134"/>
      <c r="AA125" s="134"/>
    </row>
    <row r="126" spans="5:27" x14ac:dyDescent="0.2">
      <c r="E126" s="1" t="s">
        <v>346</v>
      </c>
      <c r="F126" s="1" t="s">
        <v>347</v>
      </c>
      <c r="G126" s="1" t="str">
        <f t="shared" si="1"/>
        <v>10L</v>
      </c>
      <c r="H126" s="134"/>
      <c r="I126" s="134"/>
      <c r="J126" s="134"/>
      <c r="K126" s="134"/>
      <c r="L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X126" s="134"/>
      <c r="Y126" s="134"/>
      <c r="Z126" s="134"/>
      <c r="AA126" s="134"/>
    </row>
    <row r="127" spans="5:27" x14ac:dyDescent="0.2">
      <c r="E127" s="1" t="s">
        <v>348</v>
      </c>
      <c r="F127" s="1" t="s">
        <v>349</v>
      </c>
      <c r="G127" s="1" t="str">
        <f t="shared" si="1"/>
        <v>10M</v>
      </c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X127" s="134"/>
      <c r="Y127" s="134"/>
      <c r="Z127" s="134"/>
      <c r="AA127" s="134"/>
    </row>
    <row r="128" spans="5:27" x14ac:dyDescent="0.2">
      <c r="E128" s="1" t="s">
        <v>350</v>
      </c>
      <c r="F128" s="1" t="s">
        <v>351</v>
      </c>
      <c r="G128" s="1" t="str">
        <f t="shared" si="1"/>
        <v>10N</v>
      </c>
      <c r="H128" s="134"/>
      <c r="I128" s="134"/>
      <c r="J128" s="134"/>
      <c r="K128" s="134"/>
      <c r="L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X128" s="134"/>
      <c r="Y128" s="134"/>
      <c r="Z128" s="134"/>
      <c r="AA128" s="134"/>
    </row>
    <row r="129" spans="5:27" x14ac:dyDescent="0.2">
      <c r="E129" s="1" t="s">
        <v>352</v>
      </c>
      <c r="F129" s="1" t="s">
        <v>353</v>
      </c>
      <c r="G129" s="1" t="str">
        <f t="shared" si="1"/>
        <v>10O</v>
      </c>
      <c r="H129" s="134"/>
      <c r="I129" s="134"/>
      <c r="J129" s="134"/>
      <c r="K129" s="134"/>
      <c r="L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X129" s="134"/>
      <c r="Y129" s="134"/>
      <c r="Z129" s="134"/>
      <c r="AA129" s="134"/>
    </row>
    <row r="130" spans="5:27" x14ac:dyDescent="0.2">
      <c r="E130" s="1" t="s">
        <v>354</v>
      </c>
      <c r="F130" s="1" t="s">
        <v>355</v>
      </c>
      <c r="G130" s="1" t="str">
        <f t="shared" si="1"/>
        <v>10P</v>
      </c>
      <c r="H130" s="134"/>
      <c r="I130" s="134"/>
      <c r="J130" s="134"/>
      <c r="K130" s="134"/>
      <c r="L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X130" s="134"/>
      <c r="Y130" s="134"/>
      <c r="Z130" s="134"/>
      <c r="AA130" s="134"/>
    </row>
    <row r="131" spans="5:27" x14ac:dyDescent="0.2">
      <c r="E131" s="1" t="s">
        <v>356</v>
      </c>
      <c r="F131" s="1" t="s">
        <v>357</v>
      </c>
      <c r="G131" s="1" t="str">
        <f t="shared" ref="G131:G194" si="2">E131</f>
        <v>10Q</v>
      </c>
      <c r="H131" s="134"/>
      <c r="I131" s="134"/>
      <c r="J131" s="134"/>
      <c r="K131" s="134"/>
      <c r="L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X131" s="134"/>
      <c r="Y131" s="134"/>
      <c r="Z131" s="134"/>
      <c r="AA131" s="134"/>
    </row>
    <row r="132" spans="5:27" x14ac:dyDescent="0.2">
      <c r="E132" s="1" t="s">
        <v>358</v>
      </c>
      <c r="F132" s="1" t="s">
        <v>359</v>
      </c>
      <c r="G132" s="1" t="str">
        <f t="shared" si="2"/>
        <v>10R</v>
      </c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X132" s="134"/>
      <c r="Y132" s="134"/>
      <c r="Z132" s="134"/>
      <c r="AA132" s="134"/>
    </row>
    <row r="133" spans="5:27" x14ac:dyDescent="0.2">
      <c r="E133" s="1" t="s">
        <v>360</v>
      </c>
      <c r="F133" s="1" t="s">
        <v>361</v>
      </c>
      <c r="G133" s="1" t="str">
        <f t="shared" si="2"/>
        <v>10S</v>
      </c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X133" s="134"/>
      <c r="Y133" s="134"/>
      <c r="Z133" s="134"/>
      <c r="AA133" s="134"/>
    </row>
    <row r="134" spans="5:27" x14ac:dyDescent="0.2">
      <c r="E134" s="1" t="s">
        <v>362</v>
      </c>
      <c r="F134" s="1" t="s">
        <v>363</v>
      </c>
      <c r="G134" s="1" t="str">
        <f t="shared" si="2"/>
        <v>10T</v>
      </c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X134" s="134"/>
      <c r="Y134" s="134"/>
      <c r="Z134" s="134"/>
      <c r="AA134" s="134"/>
    </row>
    <row r="135" spans="5:27" x14ac:dyDescent="0.2">
      <c r="E135" s="1" t="s">
        <v>364</v>
      </c>
      <c r="F135" s="1" t="s">
        <v>365</v>
      </c>
      <c r="G135" s="1" t="str">
        <f t="shared" si="2"/>
        <v>10U</v>
      </c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X135" s="134"/>
      <c r="Y135" s="134"/>
      <c r="Z135" s="134"/>
      <c r="AA135" s="134"/>
    </row>
    <row r="136" spans="5:27" x14ac:dyDescent="0.2">
      <c r="E136" s="1" t="s">
        <v>366</v>
      </c>
      <c r="F136" s="1" t="s">
        <v>367</v>
      </c>
      <c r="G136" s="1" t="str">
        <f t="shared" si="2"/>
        <v>10V</v>
      </c>
      <c r="H136" s="134"/>
      <c r="I136" s="134"/>
      <c r="J136" s="134"/>
      <c r="K136" s="134"/>
      <c r="L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X136" s="134"/>
      <c r="Y136" s="134"/>
      <c r="Z136" s="134"/>
      <c r="AA136" s="134"/>
    </row>
    <row r="137" spans="5:27" x14ac:dyDescent="0.2">
      <c r="E137" s="1" t="s">
        <v>368</v>
      </c>
      <c r="F137" s="1" t="s">
        <v>369</v>
      </c>
      <c r="G137" s="1" t="str">
        <f t="shared" si="2"/>
        <v>10W</v>
      </c>
      <c r="H137" s="134"/>
      <c r="I137" s="134"/>
      <c r="J137" s="134"/>
      <c r="K137" s="134"/>
      <c r="L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X137" s="134"/>
      <c r="Y137" s="134"/>
      <c r="Z137" s="134"/>
      <c r="AA137" s="134"/>
    </row>
    <row r="138" spans="5:27" x14ac:dyDescent="0.2">
      <c r="E138" s="1" t="s">
        <v>370</v>
      </c>
      <c r="F138" s="1" t="s">
        <v>371</v>
      </c>
      <c r="G138" s="1" t="str">
        <f t="shared" si="2"/>
        <v>11A</v>
      </c>
      <c r="H138" s="134"/>
      <c r="I138" s="134"/>
      <c r="J138" s="134"/>
      <c r="K138" s="134"/>
      <c r="L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X138" s="134"/>
      <c r="Y138" s="134"/>
      <c r="Z138" s="134"/>
      <c r="AA138" s="134"/>
    </row>
    <row r="139" spans="5:27" x14ac:dyDescent="0.2">
      <c r="E139" s="1" t="s">
        <v>372</v>
      </c>
      <c r="F139" s="1" t="s">
        <v>373</v>
      </c>
      <c r="G139" s="1" t="str">
        <f t="shared" si="2"/>
        <v>11B</v>
      </c>
      <c r="H139" s="134"/>
      <c r="I139" s="134"/>
      <c r="J139" s="134"/>
      <c r="K139" s="134"/>
      <c r="L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X139" s="134"/>
      <c r="Y139" s="134"/>
      <c r="Z139" s="134"/>
      <c r="AA139" s="134"/>
    </row>
    <row r="140" spans="5:27" x14ac:dyDescent="0.2">
      <c r="E140" s="1" t="s">
        <v>374</v>
      </c>
      <c r="F140" s="1" t="s">
        <v>375</v>
      </c>
      <c r="G140" s="1" t="str">
        <f t="shared" si="2"/>
        <v>11C</v>
      </c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X140" s="134"/>
      <c r="Y140" s="134"/>
      <c r="Z140" s="134"/>
      <c r="AA140" s="134"/>
    </row>
    <row r="141" spans="5:27" x14ac:dyDescent="0.2">
      <c r="E141" s="1" t="s">
        <v>376</v>
      </c>
      <c r="F141" s="1" t="s">
        <v>377</v>
      </c>
      <c r="G141" s="1" t="str">
        <f t="shared" si="2"/>
        <v>11D</v>
      </c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  <c r="AA141" s="134"/>
    </row>
    <row r="142" spans="5:27" x14ac:dyDescent="0.2">
      <c r="E142" s="1" t="s">
        <v>378</v>
      </c>
      <c r="F142" s="1" t="s">
        <v>379</v>
      </c>
      <c r="G142" s="1" t="str">
        <f t="shared" si="2"/>
        <v>11E</v>
      </c>
      <c r="H142" s="134"/>
      <c r="I142" s="134"/>
      <c r="J142" s="134"/>
      <c r="K142" s="134"/>
      <c r="L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X142" s="134"/>
      <c r="Y142" s="134"/>
      <c r="Z142" s="134"/>
      <c r="AA142" s="134"/>
    </row>
    <row r="143" spans="5:27" x14ac:dyDescent="0.2">
      <c r="E143" s="1" t="s">
        <v>380</v>
      </c>
      <c r="F143" s="1" t="s">
        <v>381</v>
      </c>
      <c r="G143" s="1" t="str">
        <f t="shared" si="2"/>
        <v>11F</v>
      </c>
      <c r="H143" s="134"/>
      <c r="I143" s="134"/>
      <c r="J143" s="134"/>
      <c r="K143" s="134"/>
      <c r="L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X143" s="134"/>
      <c r="Y143" s="134"/>
      <c r="Z143" s="134"/>
      <c r="AA143" s="134"/>
    </row>
    <row r="144" spans="5:27" x14ac:dyDescent="0.2">
      <c r="E144" s="1" t="s">
        <v>382</v>
      </c>
      <c r="F144" s="1" t="s">
        <v>383</v>
      </c>
      <c r="G144" s="1" t="str">
        <f t="shared" si="2"/>
        <v>11G</v>
      </c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  <c r="AA144" s="134"/>
    </row>
    <row r="145" spans="5:27" x14ac:dyDescent="0.2">
      <c r="E145" s="1" t="s">
        <v>384</v>
      </c>
      <c r="F145" s="1" t="s">
        <v>385</v>
      </c>
      <c r="G145" s="1" t="str">
        <f t="shared" si="2"/>
        <v>11H</v>
      </c>
      <c r="H145" s="134"/>
      <c r="I145" s="134"/>
      <c r="J145" s="134"/>
      <c r="K145" s="134"/>
      <c r="L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X145" s="134"/>
      <c r="Y145" s="134"/>
      <c r="Z145" s="134"/>
      <c r="AA145" s="134"/>
    </row>
    <row r="146" spans="5:27" x14ac:dyDescent="0.2">
      <c r="E146" s="1" t="s">
        <v>386</v>
      </c>
      <c r="F146" s="1" t="s">
        <v>387</v>
      </c>
      <c r="G146" s="1" t="str">
        <f t="shared" si="2"/>
        <v>11I</v>
      </c>
      <c r="H146" s="134"/>
      <c r="I146" s="134"/>
      <c r="J146" s="134"/>
      <c r="K146" s="134"/>
      <c r="L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X146" s="134"/>
      <c r="Y146" s="134"/>
      <c r="Z146" s="134"/>
      <c r="AA146" s="134"/>
    </row>
    <row r="147" spans="5:27" x14ac:dyDescent="0.2">
      <c r="E147" s="1" t="s">
        <v>388</v>
      </c>
      <c r="F147" s="1" t="s">
        <v>389</v>
      </c>
      <c r="G147" s="1" t="str">
        <f t="shared" si="2"/>
        <v>11J</v>
      </c>
      <c r="H147" s="134"/>
      <c r="I147" s="134"/>
      <c r="J147" s="134"/>
      <c r="K147" s="134"/>
      <c r="L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X147" s="134"/>
      <c r="Y147" s="134"/>
      <c r="Z147" s="134"/>
      <c r="AA147" s="134"/>
    </row>
    <row r="148" spans="5:27" x14ac:dyDescent="0.2">
      <c r="E148" s="1" t="s">
        <v>390</v>
      </c>
      <c r="F148" s="1" t="s">
        <v>391</v>
      </c>
      <c r="G148" s="1" t="str">
        <f t="shared" si="2"/>
        <v>11K</v>
      </c>
      <c r="H148" s="134"/>
      <c r="I148" s="134"/>
      <c r="J148" s="134"/>
      <c r="K148" s="134"/>
      <c r="L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X148" s="134"/>
      <c r="Y148" s="134"/>
      <c r="Z148" s="134"/>
      <c r="AA148" s="134"/>
    </row>
    <row r="149" spans="5:27" x14ac:dyDescent="0.2">
      <c r="E149" s="1" t="s">
        <v>392</v>
      </c>
      <c r="F149" s="1" t="s">
        <v>393</v>
      </c>
      <c r="G149" s="1" t="str">
        <f t="shared" si="2"/>
        <v>11L</v>
      </c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  <c r="AA149" s="134"/>
    </row>
    <row r="150" spans="5:27" x14ac:dyDescent="0.2">
      <c r="E150" s="1" t="s">
        <v>394</v>
      </c>
      <c r="F150" s="1" t="s">
        <v>395</v>
      </c>
      <c r="G150" s="1" t="str">
        <f t="shared" si="2"/>
        <v>12A</v>
      </c>
      <c r="H150" s="134"/>
      <c r="I150" s="134"/>
      <c r="J150" s="134"/>
      <c r="K150" s="134"/>
      <c r="L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X150" s="134"/>
      <c r="Y150" s="134"/>
      <c r="Z150" s="134"/>
      <c r="AA150" s="134"/>
    </row>
    <row r="151" spans="5:27" x14ac:dyDescent="0.2">
      <c r="E151" s="1" t="s">
        <v>396</v>
      </c>
      <c r="F151" s="1" t="s">
        <v>397</v>
      </c>
      <c r="G151" s="1" t="str">
        <f t="shared" si="2"/>
        <v>12B</v>
      </c>
      <c r="H151" s="134"/>
      <c r="I151" s="134"/>
      <c r="J151" s="134"/>
      <c r="K151" s="134"/>
      <c r="L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X151" s="134"/>
      <c r="Y151" s="134"/>
      <c r="Z151" s="134"/>
      <c r="AA151" s="134"/>
    </row>
    <row r="152" spans="5:27" x14ac:dyDescent="0.2">
      <c r="E152" s="1" t="s">
        <v>398</v>
      </c>
      <c r="F152" s="1" t="s">
        <v>399</v>
      </c>
      <c r="G152" s="1" t="str">
        <f t="shared" si="2"/>
        <v>12C</v>
      </c>
      <c r="H152" s="134"/>
      <c r="I152" s="134"/>
      <c r="J152" s="134"/>
      <c r="K152" s="134"/>
      <c r="L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  <c r="AA152" s="134"/>
    </row>
    <row r="153" spans="5:27" x14ac:dyDescent="0.2">
      <c r="E153" s="1" t="s">
        <v>400</v>
      </c>
      <c r="F153" s="1" t="s">
        <v>401</v>
      </c>
      <c r="G153" s="1" t="str">
        <f t="shared" si="2"/>
        <v>12D</v>
      </c>
      <c r="H153" s="134"/>
      <c r="I153" s="134"/>
      <c r="J153" s="134"/>
      <c r="K153" s="134"/>
      <c r="L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  <c r="AA153" s="134"/>
    </row>
    <row r="154" spans="5:27" x14ac:dyDescent="0.2">
      <c r="E154" s="1" t="s">
        <v>402</v>
      </c>
      <c r="F154" s="1" t="s">
        <v>403</v>
      </c>
      <c r="G154" s="1" t="str">
        <f t="shared" si="2"/>
        <v>12E</v>
      </c>
      <c r="H154" s="134"/>
      <c r="I154" s="134"/>
      <c r="J154" s="134"/>
      <c r="K154" s="134"/>
      <c r="L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  <c r="AA154" s="134"/>
    </row>
    <row r="155" spans="5:27" x14ac:dyDescent="0.2">
      <c r="E155" s="1" t="s">
        <v>404</v>
      </c>
      <c r="F155" s="1" t="s">
        <v>405</v>
      </c>
      <c r="G155" s="1" t="str">
        <f t="shared" si="2"/>
        <v>12F</v>
      </c>
      <c r="H155" s="134"/>
      <c r="I155" s="134"/>
      <c r="J155" s="134"/>
      <c r="K155" s="134"/>
      <c r="L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  <c r="AA155" s="134"/>
    </row>
    <row r="156" spans="5:27" x14ac:dyDescent="0.2">
      <c r="E156" s="1" t="s">
        <v>406</v>
      </c>
      <c r="F156" s="1" t="s">
        <v>407</v>
      </c>
      <c r="G156" s="1" t="str">
        <f t="shared" si="2"/>
        <v>13A</v>
      </c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  <c r="AA156" s="134"/>
    </row>
    <row r="157" spans="5:27" x14ac:dyDescent="0.2">
      <c r="E157" s="1" t="s">
        <v>408</v>
      </c>
      <c r="F157" s="1" t="s">
        <v>409</v>
      </c>
      <c r="G157" s="1" t="str">
        <f t="shared" si="2"/>
        <v>13B</v>
      </c>
      <c r="H157" s="134"/>
      <c r="I157" s="134"/>
      <c r="J157" s="134"/>
      <c r="K157" s="134"/>
      <c r="L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X157" s="134"/>
      <c r="Y157" s="134"/>
      <c r="Z157" s="134"/>
      <c r="AA157" s="134"/>
    </row>
    <row r="158" spans="5:27" x14ac:dyDescent="0.2">
      <c r="E158" s="1" t="s">
        <v>410</v>
      </c>
      <c r="F158" s="1" t="s">
        <v>411</v>
      </c>
      <c r="G158" s="1" t="str">
        <f t="shared" si="2"/>
        <v>13C</v>
      </c>
      <c r="H158" s="134"/>
      <c r="I158" s="134"/>
      <c r="J158" s="134"/>
      <c r="K158" s="134"/>
      <c r="L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X158" s="134"/>
      <c r="Y158" s="134"/>
      <c r="Z158" s="134"/>
      <c r="AA158" s="134"/>
    </row>
    <row r="159" spans="5:27" x14ac:dyDescent="0.2">
      <c r="E159" s="1" t="s">
        <v>412</v>
      </c>
      <c r="F159" s="1" t="s">
        <v>413</v>
      </c>
      <c r="G159" s="1" t="str">
        <f t="shared" si="2"/>
        <v>13D</v>
      </c>
      <c r="H159" s="134"/>
      <c r="I159" s="134"/>
      <c r="J159" s="134"/>
      <c r="K159" s="134"/>
      <c r="L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X159" s="134"/>
      <c r="Y159" s="134"/>
      <c r="Z159" s="134"/>
      <c r="AA159" s="134"/>
    </row>
    <row r="160" spans="5:27" x14ac:dyDescent="0.2">
      <c r="E160" s="1" t="s">
        <v>414</v>
      </c>
      <c r="F160" s="1" t="s">
        <v>415</v>
      </c>
      <c r="G160" s="1" t="str">
        <f t="shared" si="2"/>
        <v>13E</v>
      </c>
      <c r="H160" s="134"/>
      <c r="I160" s="134"/>
      <c r="J160" s="134"/>
      <c r="K160" s="134"/>
      <c r="L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X160" s="134"/>
      <c r="Y160" s="134"/>
      <c r="Z160" s="134"/>
      <c r="AA160" s="134"/>
    </row>
    <row r="161" spans="5:27" x14ac:dyDescent="0.2">
      <c r="E161" s="1" t="s">
        <v>416</v>
      </c>
      <c r="F161" s="1" t="s">
        <v>417</v>
      </c>
      <c r="G161" s="1" t="str">
        <f t="shared" si="2"/>
        <v>13F</v>
      </c>
      <c r="H161" s="134"/>
      <c r="I161" s="134"/>
      <c r="J161" s="134"/>
      <c r="K161" s="134"/>
      <c r="L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X161" s="134"/>
      <c r="Y161" s="134"/>
      <c r="Z161" s="134"/>
      <c r="AA161" s="134"/>
    </row>
    <row r="162" spans="5:27" x14ac:dyDescent="0.2">
      <c r="E162" s="1" t="s">
        <v>418</v>
      </c>
      <c r="F162" s="1" t="s">
        <v>419</v>
      </c>
      <c r="G162" s="1" t="str">
        <f t="shared" si="2"/>
        <v>13G</v>
      </c>
      <c r="H162" s="134"/>
      <c r="I162" s="134"/>
      <c r="J162" s="134"/>
      <c r="K162" s="134"/>
      <c r="L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X162" s="134"/>
      <c r="Y162" s="134"/>
      <c r="Z162" s="134"/>
      <c r="AA162" s="134"/>
    </row>
    <row r="163" spans="5:27" x14ac:dyDescent="0.2">
      <c r="E163" s="1" t="s">
        <v>420</v>
      </c>
      <c r="F163" s="1" t="s">
        <v>421</v>
      </c>
      <c r="G163" s="1" t="str">
        <f t="shared" si="2"/>
        <v>13H</v>
      </c>
      <c r="H163" s="134"/>
      <c r="I163" s="134"/>
      <c r="J163" s="134"/>
      <c r="K163" s="134"/>
      <c r="L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X163" s="134"/>
      <c r="Y163" s="134"/>
      <c r="Z163" s="134"/>
      <c r="AA163" s="134"/>
    </row>
    <row r="164" spans="5:27" x14ac:dyDescent="0.2">
      <c r="E164" s="1" t="s">
        <v>422</v>
      </c>
      <c r="F164" s="1" t="s">
        <v>423</v>
      </c>
      <c r="G164" s="1" t="str">
        <f t="shared" si="2"/>
        <v>13I</v>
      </c>
      <c r="H164" s="134"/>
      <c r="I164" s="134"/>
      <c r="J164" s="134"/>
      <c r="K164" s="134"/>
      <c r="L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  <c r="AA164" s="134"/>
    </row>
    <row r="165" spans="5:27" x14ac:dyDescent="0.2">
      <c r="E165" s="1" t="s">
        <v>424</v>
      </c>
      <c r="F165" s="1" t="s">
        <v>425</v>
      </c>
      <c r="G165" s="1" t="str">
        <f t="shared" si="2"/>
        <v>13J</v>
      </c>
      <c r="H165" s="134"/>
      <c r="I165" s="134"/>
      <c r="J165" s="134"/>
      <c r="K165" s="134"/>
      <c r="L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X165" s="134"/>
      <c r="Y165" s="134"/>
      <c r="Z165" s="134"/>
      <c r="AA165" s="134"/>
    </row>
    <row r="166" spans="5:27" x14ac:dyDescent="0.2">
      <c r="E166" s="1" t="s">
        <v>426</v>
      </c>
      <c r="F166" s="1" t="s">
        <v>427</v>
      </c>
      <c r="G166" s="1" t="str">
        <f t="shared" si="2"/>
        <v>13K</v>
      </c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34"/>
      <c r="AA166" s="134"/>
    </row>
    <row r="167" spans="5:27" x14ac:dyDescent="0.2">
      <c r="E167" s="1" t="s">
        <v>428</v>
      </c>
      <c r="F167" s="1" t="s">
        <v>429</v>
      </c>
      <c r="G167" s="1" t="str">
        <f t="shared" si="2"/>
        <v>13L</v>
      </c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  <c r="AA167" s="134"/>
    </row>
    <row r="168" spans="5:27" x14ac:dyDescent="0.2">
      <c r="E168" s="1" t="s">
        <v>430</v>
      </c>
      <c r="F168" s="1" t="s">
        <v>431</v>
      </c>
      <c r="G168" s="1" t="str">
        <f t="shared" si="2"/>
        <v>14A</v>
      </c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X168" s="134"/>
      <c r="Y168" s="134"/>
      <c r="Z168" s="134"/>
      <c r="AA168" s="134"/>
    </row>
    <row r="169" spans="5:27" x14ac:dyDescent="0.2">
      <c r="E169" s="1" t="s">
        <v>432</v>
      </c>
      <c r="F169" s="1" t="s">
        <v>433</v>
      </c>
      <c r="G169" s="1" t="str">
        <f t="shared" si="2"/>
        <v>14B</v>
      </c>
      <c r="H169" s="134"/>
      <c r="I169" s="134"/>
      <c r="J169" s="134"/>
      <c r="K169" s="134"/>
      <c r="L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X169" s="134"/>
      <c r="Y169" s="134"/>
      <c r="Z169" s="134"/>
      <c r="AA169" s="134"/>
    </row>
    <row r="170" spans="5:27" x14ac:dyDescent="0.2">
      <c r="E170" s="1" t="s">
        <v>434</v>
      </c>
      <c r="F170" s="1" t="s">
        <v>435</v>
      </c>
      <c r="G170" s="1" t="str">
        <f t="shared" si="2"/>
        <v>14C</v>
      </c>
    </row>
    <row r="171" spans="5:27" x14ac:dyDescent="0.2">
      <c r="E171" s="1" t="s">
        <v>436</v>
      </c>
      <c r="F171" s="1" t="s">
        <v>437</v>
      </c>
      <c r="G171" s="1" t="str">
        <f t="shared" si="2"/>
        <v>14D</v>
      </c>
    </row>
    <row r="172" spans="5:27" x14ac:dyDescent="0.2">
      <c r="E172" s="1" t="s">
        <v>438</v>
      </c>
      <c r="F172" s="1" t="s">
        <v>439</v>
      </c>
      <c r="G172" s="1" t="str">
        <f t="shared" si="2"/>
        <v>14E</v>
      </c>
    </row>
    <row r="173" spans="5:27" x14ac:dyDescent="0.2">
      <c r="E173" s="1" t="s">
        <v>440</v>
      </c>
      <c r="F173" s="1" t="s">
        <v>441</v>
      </c>
      <c r="G173" s="1" t="str">
        <f t="shared" si="2"/>
        <v>14F</v>
      </c>
    </row>
    <row r="174" spans="5:27" x14ac:dyDescent="0.2">
      <c r="E174" s="1" t="s">
        <v>442</v>
      </c>
      <c r="F174" s="1" t="s">
        <v>443</v>
      </c>
      <c r="G174" s="1" t="str">
        <f t="shared" si="2"/>
        <v>14G</v>
      </c>
    </row>
    <row r="175" spans="5:27" x14ac:dyDescent="0.2">
      <c r="E175" s="1" t="s">
        <v>444</v>
      </c>
      <c r="F175" s="1" t="s">
        <v>445</v>
      </c>
      <c r="G175" s="1" t="str">
        <f t="shared" si="2"/>
        <v>14H</v>
      </c>
    </row>
    <row r="176" spans="5:27" x14ac:dyDescent="0.2">
      <c r="E176" s="1" t="s">
        <v>446</v>
      </c>
      <c r="F176" s="1" t="s">
        <v>447</v>
      </c>
      <c r="G176" s="1" t="str">
        <f t="shared" si="2"/>
        <v>14I</v>
      </c>
    </row>
    <row r="177" spans="5:7" x14ac:dyDescent="0.2">
      <c r="E177" s="1" t="s">
        <v>448</v>
      </c>
      <c r="F177" s="1" t="s">
        <v>449</v>
      </c>
      <c r="G177" s="1" t="str">
        <f t="shared" si="2"/>
        <v>14J</v>
      </c>
    </row>
    <row r="178" spans="5:7" x14ac:dyDescent="0.2">
      <c r="E178" s="1" t="s">
        <v>450</v>
      </c>
      <c r="F178" s="1" t="s">
        <v>451</v>
      </c>
      <c r="G178" s="1" t="str">
        <f t="shared" si="2"/>
        <v>14K</v>
      </c>
    </row>
    <row r="179" spans="5:7" x14ac:dyDescent="0.2">
      <c r="E179" s="1" t="s">
        <v>452</v>
      </c>
      <c r="F179" s="1" t="s">
        <v>453</v>
      </c>
      <c r="G179" s="1" t="str">
        <f t="shared" si="2"/>
        <v>14L</v>
      </c>
    </row>
    <row r="180" spans="5:7" x14ac:dyDescent="0.2">
      <c r="E180" s="1" t="s">
        <v>454</v>
      </c>
      <c r="F180" s="1" t="s">
        <v>455</v>
      </c>
      <c r="G180" s="1" t="str">
        <f t="shared" si="2"/>
        <v>14M</v>
      </c>
    </row>
    <row r="181" spans="5:7" x14ac:dyDescent="0.2">
      <c r="E181" s="1" t="s">
        <v>456</v>
      </c>
      <c r="F181" s="1" t="s">
        <v>457</v>
      </c>
      <c r="G181" s="1" t="str">
        <f t="shared" si="2"/>
        <v>14N</v>
      </c>
    </row>
    <row r="182" spans="5:7" x14ac:dyDescent="0.2">
      <c r="E182" s="1" t="s">
        <v>458</v>
      </c>
      <c r="F182" s="1" t="s">
        <v>459</v>
      </c>
      <c r="G182" s="1" t="str">
        <f t="shared" si="2"/>
        <v>15A</v>
      </c>
    </row>
    <row r="183" spans="5:7" x14ac:dyDescent="0.2">
      <c r="E183" s="1" t="s">
        <v>460</v>
      </c>
      <c r="F183" s="1" t="s">
        <v>461</v>
      </c>
      <c r="G183" s="1" t="str">
        <f t="shared" si="2"/>
        <v>15B</v>
      </c>
    </row>
    <row r="184" spans="5:7" x14ac:dyDescent="0.2">
      <c r="E184" s="1" t="s">
        <v>462</v>
      </c>
      <c r="F184" s="1" t="s">
        <v>463</v>
      </c>
      <c r="G184" s="1" t="str">
        <f t="shared" si="2"/>
        <v>15C</v>
      </c>
    </row>
    <row r="185" spans="5:7" x14ac:dyDescent="0.2">
      <c r="E185" s="1" t="s">
        <v>464</v>
      </c>
      <c r="F185" s="1" t="s">
        <v>465</v>
      </c>
      <c r="G185" s="1" t="str">
        <f t="shared" si="2"/>
        <v>15D</v>
      </c>
    </row>
    <row r="186" spans="5:7" x14ac:dyDescent="0.2">
      <c r="E186" s="1" t="s">
        <v>466</v>
      </c>
      <c r="F186" s="1" t="s">
        <v>467</v>
      </c>
      <c r="G186" s="1" t="str">
        <f t="shared" si="2"/>
        <v>15E</v>
      </c>
    </row>
    <row r="187" spans="5:7" x14ac:dyDescent="0.2">
      <c r="E187" s="1" t="s">
        <v>468</v>
      </c>
      <c r="F187" s="1" t="s">
        <v>469</v>
      </c>
      <c r="G187" s="1" t="str">
        <f t="shared" si="2"/>
        <v>15F</v>
      </c>
    </row>
    <row r="188" spans="5:7" x14ac:dyDescent="0.2">
      <c r="E188" s="1" t="s">
        <v>470</v>
      </c>
      <c r="F188" s="1" t="s">
        <v>471</v>
      </c>
      <c r="G188" s="1" t="str">
        <f t="shared" si="2"/>
        <v>15G</v>
      </c>
    </row>
    <row r="189" spans="5:7" x14ac:dyDescent="0.2">
      <c r="E189" s="1" t="s">
        <v>472</v>
      </c>
      <c r="F189" s="1" t="s">
        <v>473</v>
      </c>
      <c r="G189" s="1" t="str">
        <f t="shared" si="2"/>
        <v>15H</v>
      </c>
    </row>
    <row r="190" spans="5:7" x14ac:dyDescent="0.2">
      <c r="E190" s="1" t="s">
        <v>474</v>
      </c>
      <c r="F190" s="1" t="s">
        <v>475</v>
      </c>
      <c r="G190" s="1" t="str">
        <f t="shared" si="2"/>
        <v>15I</v>
      </c>
    </row>
    <row r="191" spans="5:7" x14ac:dyDescent="0.2">
      <c r="E191" s="1" t="s">
        <v>476</v>
      </c>
      <c r="F191" s="1" t="s">
        <v>477</v>
      </c>
      <c r="G191" s="1" t="str">
        <f t="shared" si="2"/>
        <v>16A</v>
      </c>
    </row>
    <row r="192" spans="5:7" x14ac:dyDescent="0.2">
      <c r="E192" s="1" t="s">
        <v>478</v>
      </c>
      <c r="F192" s="1" t="s">
        <v>479</v>
      </c>
      <c r="G192" s="1" t="str">
        <f t="shared" si="2"/>
        <v>16B</v>
      </c>
    </row>
    <row r="193" spans="5:7" x14ac:dyDescent="0.2">
      <c r="E193" s="1" t="s">
        <v>480</v>
      </c>
      <c r="F193" s="1" t="s">
        <v>481</v>
      </c>
      <c r="G193" s="1" t="str">
        <f t="shared" si="2"/>
        <v>16C</v>
      </c>
    </row>
    <row r="194" spans="5:7" x14ac:dyDescent="0.2">
      <c r="E194" s="1" t="s">
        <v>482</v>
      </c>
      <c r="F194" s="1" t="s">
        <v>483</v>
      </c>
      <c r="G194" s="1" t="str">
        <f t="shared" si="2"/>
        <v>16D</v>
      </c>
    </row>
    <row r="195" spans="5:7" x14ac:dyDescent="0.2">
      <c r="E195" s="1" t="s">
        <v>484</v>
      </c>
      <c r="F195" s="1" t="s">
        <v>485</v>
      </c>
      <c r="G195" s="1" t="str">
        <f t="shared" ref="G195:G258" si="3">E195</f>
        <v>16E</v>
      </c>
    </row>
    <row r="196" spans="5:7" x14ac:dyDescent="0.2">
      <c r="E196" s="1" t="s">
        <v>486</v>
      </c>
      <c r="F196" s="1" t="s">
        <v>487</v>
      </c>
      <c r="G196" s="1" t="str">
        <f t="shared" si="3"/>
        <v>16F</v>
      </c>
    </row>
    <row r="197" spans="5:7" x14ac:dyDescent="0.2">
      <c r="E197" s="1" t="s">
        <v>488</v>
      </c>
      <c r="F197" s="1" t="s">
        <v>489</v>
      </c>
      <c r="G197" s="1" t="str">
        <f t="shared" si="3"/>
        <v>16G</v>
      </c>
    </row>
    <row r="198" spans="5:7" x14ac:dyDescent="0.2">
      <c r="E198" s="1" t="s">
        <v>490</v>
      </c>
      <c r="F198" s="1" t="s">
        <v>491</v>
      </c>
      <c r="G198" s="1" t="str">
        <f t="shared" si="3"/>
        <v>16H</v>
      </c>
    </row>
    <row r="199" spans="5:7" x14ac:dyDescent="0.2">
      <c r="E199" s="1" t="s">
        <v>492</v>
      </c>
      <c r="F199" s="1" t="s">
        <v>493</v>
      </c>
      <c r="G199" s="1" t="str">
        <f t="shared" si="3"/>
        <v>16I</v>
      </c>
    </row>
    <row r="200" spans="5:7" x14ac:dyDescent="0.2">
      <c r="E200" s="1" t="s">
        <v>494</v>
      </c>
      <c r="F200" s="1" t="s">
        <v>495</v>
      </c>
      <c r="G200" s="1" t="str">
        <f t="shared" si="3"/>
        <v>16J</v>
      </c>
    </row>
    <row r="201" spans="5:7" x14ac:dyDescent="0.2">
      <c r="E201" s="1" t="s">
        <v>496</v>
      </c>
      <c r="F201" s="1" t="s">
        <v>497</v>
      </c>
      <c r="G201" s="1" t="str">
        <f t="shared" si="3"/>
        <v>16K</v>
      </c>
    </row>
    <row r="202" spans="5:7" x14ac:dyDescent="0.2">
      <c r="E202" s="1" t="s">
        <v>498</v>
      </c>
      <c r="F202" s="1" t="s">
        <v>499</v>
      </c>
      <c r="G202" s="1" t="str">
        <f t="shared" si="3"/>
        <v>16L</v>
      </c>
    </row>
    <row r="203" spans="5:7" x14ac:dyDescent="0.2">
      <c r="E203" s="1" t="s">
        <v>500</v>
      </c>
      <c r="F203" s="1" t="s">
        <v>501</v>
      </c>
      <c r="G203" s="1" t="str">
        <f t="shared" si="3"/>
        <v>16M</v>
      </c>
    </row>
    <row r="204" spans="5:7" x14ac:dyDescent="0.2">
      <c r="E204" s="1" t="s">
        <v>502</v>
      </c>
      <c r="F204" s="1" t="s">
        <v>503</v>
      </c>
      <c r="G204" s="1" t="str">
        <f t="shared" si="3"/>
        <v>16N</v>
      </c>
    </row>
    <row r="205" spans="5:7" x14ac:dyDescent="0.2">
      <c r="E205" s="1" t="s">
        <v>504</v>
      </c>
      <c r="F205" s="1" t="s">
        <v>505</v>
      </c>
      <c r="G205" s="1" t="str">
        <f t="shared" si="3"/>
        <v>16O</v>
      </c>
    </row>
    <row r="206" spans="5:7" x14ac:dyDescent="0.2">
      <c r="E206" s="1" t="s">
        <v>506</v>
      </c>
      <c r="F206" s="1" t="s">
        <v>507</v>
      </c>
      <c r="G206" s="1" t="str">
        <f t="shared" si="3"/>
        <v>16P</v>
      </c>
    </row>
    <row r="207" spans="5:7" x14ac:dyDescent="0.2">
      <c r="E207" s="1" t="s">
        <v>508</v>
      </c>
      <c r="F207" s="1" t="s">
        <v>509</v>
      </c>
      <c r="G207" s="1" t="str">
        <f t="shared" si="3"/>
        <v>16Q</v>
      </c>
    </row>
    <row r="208" spans="5:7" x14ac:dyDescent="0.2">
      <c r="E208" s="1" t="s">
        <v>510</v>
      </c>
      <c r="F208" s="1" t="s">
        <v>511</v>
      </c>
      <c r="G208" s="1" t="str">
        <f t="shared" si="3"/>
        <v>16R</v>
      </c>
    </row>
    <row r="209" spans="5:7" x14ac:dyDescent="0.2">
      <c r="E209" s="1" t="s">
        <v>512</v>
      </c>
      <c r="F209" s="1" t="s">
        <v>513</v>
      </c>
      <c r="G209" s="1" t="str">
        <f t="shared" si="3"/>
        <v>16S</v>
      </c>
    </row>
    <row r="210" spans="5:7" x14ac:dyDescent="0.2">
      <c r="E210" s="1" t="s">
        <v>514</v>
      </c>
      <c r="F210" s="1" t="s">
        <v>515</v>
      </c>
      <c r="G210" s="1" t="str">
        <f t="shared" si="3"/>
        <v>16T</v>
      </c>
    </row>
    <row r="211" spans="5:7" x14ac:dyDescent="0.2">
      <c r="E211" s="1" t="s">
        <v>516</v>
      </c>
      <c r="F211" s="1" t="s">
        <v>517</v>
      </c>
      <c r="G211" s="1" t="str">
        <f t="shared" si="3"/>
        <v>16U</v>
      </c>
    </row>
    <row r="212" spans="5:7" x14ac:dyDescent="0.2">
      <c r="E212" s="1" t="s">
        <v>518</v>
      </c>
      <c r="F212" s="1" t="s">
        <v>519</v>
      </c>
      <c r="G212" s="1" t="str">
        <f t="shared" si="3"/>
        <v>16V</v>
      </c>
    </row>
    <row r="213" spans="5:7" x14ac:dyDescent="0.2">
      <c r="E213" s="1" t="s">
        <v>520</v>
      </c>
      <c r="F213" s="1" t="s">
        <v>521</v>
      </c>
      <c r="G213" s="1" t="str">
        <f t="shared" si="3"/>
        <v>16W</v>
      </c>
    </row>
    <row r="214" spans="5:7" x14ac:dyDescent="0.2">
      <c r="E214" s="1" t="s">
        <v>522</v>
      </c>
      <c r="F214" s="1" t="s">
        <v>523</v>
      </c>
      <c r="G214" s="1" t="str">
        <f t="shared" si="3"/>
        <v>16X</v>
      </c>
    </row>
    <row r="215" spans="5:7" x14ac:dyDescent="0.2">
      <c r="E215" s="1" t="s">
        <v>524</v>
      </c>
      <c r="F215" s="1" t="s">
        <v>525</v>
      </c>
      <c r="G215" s="1" t="str">
        <f t="shared" si="3"/>
        <v>17A</v>
      </c>
    </row>
    <row r="216" spans="5:7" x14ac:dyDescent="0.2">
      <c r="E216" s="1" t="s">
        <v>526</v>
      </c>
      <c r="F216" s="1" t="s">
        <v>527</v>
      </c>
      <c r="G216" s="1" t="str">
        <f t="shared" si="3"/>
        <v>17B</v>
      </c>
    </row>
    <row r="217" spans="5:7" x14ac:dyDescent="0.2">
      <c r="E217" s="1" t="s">
        <v>528</v>
      </c>
      <c r="F217" s="1" t="s">
        <v>529</v>
      </c>
      <c r="G217" s="1" t="str">
        <f t="shared" si="3"/>
        <v>17C</v>
      </c>
    </row>
    <row r="218" spans="5:7" x14ac:dyDescent="0.2">
      <c r="E218" s="1" t="s">
        <v>530</v>
      </c>
      <c r="F218" s="1" t="s">
        <v>531</v>
      </c>
      <c r="G218" s="1" t="str">
        <f t="shared" si="3"/>
        <v>17D</v>
      </c>
    </row>
    <row r="219" spans="5:7" x14ac:dyDescent="0.2">
      <c r="E219" s="1" t="s">
        <v>532</v>
      </c>
      <c r="F219" s="1" t="s">
        <v>533</v>
      </c>
      <c r="G219" s="1" t="str">
        <f t="shared" si="3"/>
        <v>17E</v>
      </c>
    </row>
    <row r="220" spans="5:7" x14ac:dyDescent="0.2">
      <c r="E220" s="1" t="s">
        <v>534</v>
      </c>
      <c r="F220" s="1" t="s">
        <v>535</v>
      </c>
      <c r="G220" s="1" t="str">
        <f t="shared" si="3"/>
        <v>18A</v>
      </c>
    </row>
    <row r="221" spans="5:7" x14ac:dyDescent="0.2">
      <c r="E221" s="1" t="s">
        <v>536</v>
      </c>
      <c r="F221" s="1" t="s">
        <v>537</v>
      </c>
      <c r="G221" s="1" t="str">
        <f t="shared" si="3"/>
        <v>18B</v>
      </c>
    </row>
    <row r="222" spans="5:7" x14ac:dyDescent="0.2">
      <c r="E222" s="1" t="s">
        <v>538</v>
      </c>
      <c r="F222" s="1" t="s">
        <v>539</v>
      </c>
      <c r="G222" s="1" t="str">
        <f t="shared" si="3"/>
        <v>18C</v>
      </c>
    </row>
    <row r="223" spans="5:7" x14ac:dyDescent="0.2">
      <c r="E223" s="1" t="s">
        <v>540</v>
      </c>
      <c r="F223" s="1" t="s">
        <v>541</v>
      </c>
      <c r="G223" s="1" t="str">
        <f t="shared" si="3"/>
        <v>18D</v>
      </c>
    </row>
    <row r="224" spans="5:7" x14ac:dyDescent="0.2">
      <c r="E224" s="1" t="s">
        <v>542</v>
      </c>
      <c r="F224" s="1" t="s">
        <v>543</v>
      </c>
      <c r="G224" s="1" t="str">
        <f t="shared" si="3"/>
        <v>18E</v>
      </c>
    </row>
    <row r="225" spans="5:7" x14ac:dyDescent="0.2">
      <c r="E225" s="1" t="s">
        <v>544</v>
      </c>
      <c r="F225" s="1" t="s">
        <v>545</v>
      </c>
      <c r="G225" s="1" t="str">
        <f t="shared" si="3"/>
        <v>18F</v>
      </c>
    </row>
    <row r="226" spans="5:7" x14ac:dyDescent="0.2">
      <c r="E226" s="1" t="s">
        <v>546</v>
      </c>
      <c r="F226" s="1" t="s">
        <v>547</v>
      </c>
      <c r="G226" s="1" t="str">
        <f t="shared" si="3"/>
        <v>18G</v>
      </c>
    </row>
    <row r="227" spans="5:7" x14ac:dyDescent="0.2">
      <c r="E227" s="1" t="s">
        <v>548</v>
      </c>
      <c r="F227" s="1" t="s">
        <v>549</v>
      </c>
      <c r="G227" s="1" t="str">
        <f t="shared" si="3"/>
        <v>18H</v>
      </c>
    </row>
    <row r="228" spans="5:7" x14ac:dyDescent="0.2">
      <c r="E228" s="1" t="s">
        <v>550</v>
      </c>
      <c r="F228" s="1" t="s">
        <v>551</v>
      </c>
      <c r="G228" s="1" t="str">
        <f t="shared" si="3"/>
        <v>18I</v>
      </c>
    </row>
    <row r="229" spans="5:7" x14ac:dyDescent="0.2">
      <c r="E229" s="1" t="s">
        <v>552</v>
      </c>
      <c r="F229" s="1" t="s">
        <v>553</v>
      </c>
      <c r="G229" s="1" t="str">
        <f t="shared" si="3"/>
        <v>18J</v>
      </c>
    </row>
    <row r="230" spans="5:7" x14ac:dyDescent="0.2">
      <c r="E230" s="1" t="s">
        <v>554</v>
      </c>
      <c r="F230" s="1" t="s">
        <v>555</v>
      </c>
      <c r="G230" s="1" t="str">
        <f t="shared" si="3"/>
        <v>18K</v>
      </c>
    </row>
    <row r="231" spans="5:7" x14ac:dyDescent="0.2">
      <c r="E231" s="1" t="s">
        <v>556</v>
      </c>
      <c r="F231" s="1" t="s">
        <v>557</v>
      </c>
      <c r="G231" s="1" t="str">
        <f t="shared" si="3"/>
        <v>18L</v>
      </c>
    </row>
    <row r="232" spans="5:7" x14ac:dyDescent="0.2">
      <c r="E232" s="1" t="s">
        <v>558</v>
      </c>
      <c r="F232" s="1" t="s">
        <v>559</v>
      </c>
      <c r="G232" s="1" t="str">
        <f t="shared" si="3"/>
        <v>18M</v>
      </c>
    </row>
    <row r="233" spans="5:7" x14ac:dyDescent="0.2">
      <c r="E233" s="1" t="s">
        <v>560</v>
      </c>
      <c r="F233" s="1" t="s">
        <v>561</v>
      </c>
      <c r="G233" s="1" t="str">
        <f t="shared" si="3"/>
        <v>18N</v>
      </c>
    </row>
    <row r="234" spans="5:7" x14ac:dyDescent="0.2">
      <c r="E234" s="1" t="s">
        <v>562</v>
      </c>
      <c r="F234" s="1" t="s">
        <v>563</v>
      </c>
      <c r="G234" s="1" t="str">
        <f t="shared" si="3"/>
        <v>18O</v>
      </c>
    </row>
    <row r="235" spans="5:7" x14ac:dyDescent="0.2">
      <c r="E235" s="1" t="s">
        <v>564</v>
      </c>
      <c r="F235" s="1" t="s">
        <v>565</v>
      </c>
      <c r="G235" s="1" t="str">
        <f t="shared" si="3"/>
        <v>18P</v>
      </c>
    </row>
    <row r="236" spans="5:7" x14ac:dyDescent="0.2">
      <c r="E236" s="1" t="s">
        <v>566</v>
      </c>
      <c r="F236" s="1" t="s">
        <v>567</v>
      </c>
      <c r="G236" s="1" t="str">
        <f t="shared" si="3"/>
        <v>18Q</v>
      </c>
    </row>
    <row r="237" spans="5:7" x14ac:dyDescent="0.2">
      <c r="E237" s="1" t="s">
        <v>568</v>
      </c>
      <c r="F237" s="1" t="s">
        <v>569</v>
      </c>
      <c r="G237" s="1" t="str">
        <f t="shared" si="3"/>
        <v>18R</v>
      </c>
    </row>
    <row r="238" spans="5:7" x14ac:dyDescent="0.2">
      <c r="E238" s="1" t="s">
        <v>570</v>
      </c>
      <c r="F238" s="1" t="s">
        <v>571</v>
      </c>
      <c r="G238" s="1" t="str">
        <f t="shared" si="3"/>
        <v>18S</v>
      </c>
    </row>
    <row r="239" spans="5:7" x14ac:dyDescent="0.2">
      <c r="E239" s="1" t="s">
        <v>572</v>
      </c>
      <c r="F239" s="1" t="s">
        <v>573</v>
      </c>
      <c r="G239" s="1" t="str">
        <f t="shared" si="3"/>
        <v>18T</v>
      </c>
    </row>
    <row r="240" spans="5:7" x14ac:dyDescent="0.2">
      <c r="E240" s="1" t="s">
        <v>574</v>
      </c>
      <c r="F240" s="1" t="s">
        <v>575</v>
      </c>
      <c r="G240" s="1" t="str">
        <f t="shared" si="3"/>
        <v>18U</v>
      </c>
    </row>
    <row r="241" spans="5:7" x14ac:dyDescent="0.2">
      <c r="E241" s="1" t="s">
        <v>576</v>
      </c>
      <c r="F241" s="1" t="s">
        <v>577</v>
      </c>
      <c r="G241" s="1" t="str">
        <f t="shared" si="3"/>
        <v>19A</v>
      </c>
    </row>
    <row r="242" spans="5:7" x14ac:dyDescent="0.2">
      <c r="E242" s="1" t="s">
        <v>578</v>
      </c>
      <c r="F242" s="1" t="s">
        <v>579</v>
      </c>
      <c r="G242" s="1" t="str">
        <f t="shared" si="3"/>
        <v>19B</v>
      </c>
    </row>
    <row r="243" spans="5:7" x14ac:dyDescent="0.2">
      <c r="E243" s="1" t="s">
        <v>580</v>
      </c>
      <c r="F243" s="1" t="s">
        <v>581</v>
      </c>
      <c r="G243" s="1" t="str">
        <f t="shared" si="3"/>
        <v>19C</v>
      </c>
    </row>
    <row r="244" spans="5:7" x14ac:dyDescent="0.2">
      <c r="E244" s="1" t="s">
        <v>582</v>
      </c>
      <c r="F244" s="1" t="s">
        <v>583</v>
      </c>
      <c r="G244" s="1" t="str">
        <f t="shared" si="3"/>
        <v>19D</v>
      </c>
    </row>
    <row r="245" spans="5:7" x14ac:dyDescent="0.2">
      <c r="E245" s="1" t="s">
        <v>584</v>
      </c>
      <c r="F245" s="1" t="s">
        <v>585</v>
      </c>
      <c r="G245" s="1" t="str">
        <f t="shared" si="3"/>
        <v>19E</v>
      </c>
    </row>
    <row r="246" spans="5:7" x14ac:dyDescent="0.2">
      <c r="E246" s="1" t="s">
        <v>586</v>
      </c>
      <c r="F246" s="1" t="s">
        <v>587</v>
      </c>
      <c r="G246" s="1" t="str">
        <f t="shared" si="3"/>
        <v>19F</v>
      </c>
    </row>
    <row r="247" spans="5:7" x14ac:dyDescent="0.2">
      <c r="E247" s="1" t="s">
        <v>588</v>
      </c>
      <c r="F247" s="1" t="s">
        <v>589</v>
      </c>
      <c r="G247" s="1" t="str">
        <f t="shared" si="3"/>
        <v>19G</v>
      </c>
    </row>
    <row r="248" spans="5:7" x14ac:dyDescent="0.2">
      <c r="E248" s="1" t="s">
        <v>590</v>
      </c>
      <c r="F248" s="1" t="s">
        <v>591</v>
      </c>
      <c r="G248" s="1" t="str">
        <f t="shared" si="3"/>
        <v>19H</v>
      </c>
    </row>
    <row r="249" spans="5:7" x14ac:dyDescent="0.2">
      <c r="E249" s="1" t="s">
        <v>592</v>
      </c>
      <c r="F249" s="1" t="s">
        <v>593</v>
      </c>
      <c r="G249" s="1" t="str">
        <f t="shared" si="3"/>
        <v>19I</v>
      </c>
    </row>
    <row r="250" spans="5:7" x14ac:dyDescent="0.2">
      <c r="E250" s="1" t="s">
        <v>594</v>
      </c>
      <c r="F250" s="1" t="s">
        <v>595</v>
      </c>
      <c r="G250" s="1" t="str">
        <f t="shared" si="3"/>
        <v>19J</v>
      </c>
    </row>
    <row r="251" spans="5:7" x14ac:dyDescent="0.2">
      <c r="E251" s="1" t="s">
        <v>596</v>
      </c>
      <c r="F251" s="1" t="s">
        <v>597</v>
      </c>
      <c r="G251" s="1" t="str">
        <f t="shared" si="3"/>
        <v>19K</v>
      </c>
    </row>
    <row r="252" spans="5:7" x14ac:dyDescent="0.2">
      <c r="E252" s="1" t="s">
        <v>598</v>
      </c>
      <c r="F252" s="1" t="s">
        <v>599</v>
      </c>
      <c r="G252" s="1" t="str">
        <f t="shared" si="3"/>
        <v>19L</v>
      </c>
    </row>
    <row r="253" spans="5:7" x14ac:dyDescent="0.2">
      <c r="E253" s="1" t="s">
        <v>600</v>
      </c>
      <c r="F253" s="1" t="s">
        <v>601</v>
      </c>
      <c r="G253" s="1" t="str">
        <f t="shared" si="3"/>
        <v>19M</v>
      </c>
    </row>
    <row r="254" spans="5:7" x14ac:dyDescent="0.2">
      <c r="E254" s="1" t="s">
        <v>602</v>
      </c>
      <c r="F254" s="1" t="s">
        <v>603</v>
      </c>
      <c r="G254" s="1" t="str">
        <f t="shared" si="3"/>
        <v>19N</v>
      </c>
    </row>
    <row r="255" spans="5:7" x14ac:dyDescent="0.2">
      <c r="E255" s="1" t="s">
        <v>604</v>
      </c>
      <c r="F255" s="1" t="s">
        <v>605</v>
      </c>
      <c r="G255" s="1" t="str">
        <f t="shared" si="3"/>
        <v>19O</v>
      </c>
    </row>
    <row r="256" spans="5:7" x14ac:dyDescent="0.2">
      <c r="E256" s="1" t="s">
        <v>606</v>
      </c>
      <c r="F256" s="1" t="s">
        <v>607</v>
      </c>
      <c r="G256" s="1" t="str">
        <f t="shared" si="3"/>
        <v>19P</v>
      </c>
    </row>
    <row r="257" spans="5:7" x14ac:dyDescent="0.2">
      <c r="E257" s="1" t="s">
        <v>608</v>
      </c>
      <c r="F257" s="1" t="s">
        <v>609</v>
      </c>
      <c r="G257" s="1" t="str">
        <f t="shared" si="3"/>
        <v>19Q</v>
      </c>
    </row>
    <row r="258" spans="5:7" x14ac:dyDescent="0.2">
      <c r="E258" s="1" t="s">
        <v>610</v>
      </c>
      <c r="F258" s="1" t="s">
        <v>611</v>
      </c>
      <c r="G258" s="1" t="str">
        <f t="shared" si="3"/>
        <v>19R</v>
      </c>
    </row>
    <row r="259" spans="5:7" x14ac:dyDescent="0.2">
      <c r="E259" s="1" t="s">
        <v>612</v>
      </c>
      <c r="F259" s="1" t="s">
        <v>613</v>
      </c>
      <c r="G259" s="1" t="str">
        <f t="shared" ref="G259:G322" si="4">E259</f>
        <v>19S</v>
      </c>
    </row>
    <row r="260" spans="5:7" x14ac:dyDescent="0.2">
      <c r="E260" s="1" t="s">
        <v>614</v>
      </c>
      <c r="F260" s="1" t="s">
        <v>615</v>
      </c>
      <c r="G260" s="1" t="str">
        <f t="shared" si="4"/>
        <v>19T</v>
      </c>
    </row>
    <row r="261" spans="5:7" x14ac:dyDescent="0.2">
      <c r="E261" s="1" t="s">
        <v>616</v>
      </c>
      <c r="F261" s="1" t="s">
        <v>617</v>
      </c>
      <c r="G261" s="1" t="str">
        <f t="shared" si="4"/>
        <v>20A</v>
      </c>
    </row>
    <row r="262" spans="5:7" x14ac:dyDescent="0.2">
      <c r="E262" s="1" t="s">
        <v>618</v>
      </c>
      <c r="F262" s="1" t="s">
        <v>619</v>
      </c>
      <c r="G262" s="1" t="str">
        <f t="shared" si="4"/>
        <v>20B</v>
      </c>
    </row>
    <row r="263" spans="5:7" x14ac:dyDescent="0.2">
      <c r="E263" s="1" t="s">
        <v>620</v>
      </c>
      <c r="F263" s="1" t="s">
        <v>621</v>
      </c>
      <c r="G263" s="1" t="str">
        <f t="shared" si="4"/>
        <v>20C</v>
      </c>
    </row>
    <row r="264" spans="5:7" x14ac:dyDescent="0.2">
      <c r="E264" s="1" t="s">
        <v>622</v>
      </c>
      <c r="F264" s="1" t="s">
        <v>623</v>
      </c>
      <c r="G264" s="1" t="str">
        <f t="shared" si="4"/>
        <v>21A</v>
      </c>
    </row>
    <row r="265" spans="5:7" x14ac:dyDescent="0.2">
      <c r="E265" s="1" t="s">
        <v>624</v>
      </c>
      <c r="F265" s="1" t="s">
        <v>625</v>
      </c>
      <c r="G265" s="1" t="str">
        <f t="shared" si="4"/>
        <v>21B</v>
      </c>
    </row>
    <row r="266" spans="5:7" x14ac:dyDescent="0.2">
      <c r="E266" s="1" t="s">
        <v>626</v>
      </c>
      <c r="F266" s="1" t="s">
        <v>627</v>
      </c>
      <c r="G266" s="1" t="str">
        <f t="shared" si="4"/>
        <v>21C</v>
      </c>
    </row>
    <row r="267" spans="5:7" x14ac:dyDescent="0.2">
      <c r="E267" s="1" t="s">
        <v>628</v>
      </c>
      <c r="F267" s="1" t="s">
        <v>629</v>
      </c>
      <c r="G267" s="1" t="str">
        <f t="shared" si="4"/>
        <v>21D</v>
      </c>
    </row>
    <row r="268" spans="5:7" x14ac:dyDescent="0.2">
      <c r="E268" s="1" t="s">
        <v>630</v>
      </c>
      <c r="F268" s="1" t="s">
        <v>631</v>
      </c>
      <c r="G268" s="1" t="str">
        <f t="shared" si="4"/>
        <v>21E</v>
      </c>
    </row>
    <row r="269" spans="5:7" x14ac:dyDescent="0.2">
      <c r="E269" s="1" t="s">
        <v>632</v>
      </c>
      <c r="F269" s="1" t="s">
        <v>633</v>
      </c>
      <c r="G269" s="1" t="str">
        <f t="shared" si="4"/>
        <v>21F</v>
      </c>
    </row>
    <row r="270" spans="5:7" x14ac:dyDescent="0.2">
      <c r="E270" s="1" t="s">
        <v>634</v>
      </c>
      <c r="F270" s="1" t="s">
        <v>635</v>
      </c>
      <c r="G270" s="1" t="str">
        <f t="shared" si="4"/>
        <v>21G</v>
      </c>
    </row>
    <row r="271" spans="5:7" x14ac:dyDescent="0.2">
      <c r="E271" s="1" t="s">
        <v>636</v>
      </c>
      <c r="F271" s="1" t="s">
        <v>637</v>
      </c>
      <c r="G271" s="1" t="str">
        <f t="shared" si="4"/>
        <v>21H</v>
      </c>
    </row>
    <row r="272" spans="5:7" x14ac:dyDescent="0.2">
      <c r="E272" s="1" t="s">
        <v>638</v>
      </c>
      <c r="F272" s="1" t="s">
        <v>639</v>
      </c>
      <c r="G272" s="1" t="str">
        <f t="shared" si="4"/>
        <v>21I</v>
      </c>
    </row>
    <row r="273" spans="5:7" x14ac:dyDescent="0.2">
      <c r="E273" s="1" t="s">
        <v>640</v>
      </c>
      <c r="F273" s="1" t="s">
        <v>641</v>
      </c>
      <c r="G273" s="1" t="str">
        <f t="shared" si="4"/>
        <v>21J</v>
      </c>
    </row>
    <row r="274" spans="5:7" x14ac:dyDescent="0.2">
      <c r="E274" s="1" t="s">
        <v>642</v>
      </c>
      <c r="F274" s="1" t="s">
        <v>643</v>
      </c>
      <c r="G274" s="1" t="str">
        <f t="shared" si="4"/>
        <v>22A</v>
      </c>
    </row>
    <row r="275" spans="5:7" x14ac:dyDescent="0.2">
      <c r="E275" s="1" t="s">
        <v>644</v>
      </c>
      <c r="F275" s="1" t="s">
        <v>645</v>
      </c>
      <c r="G275" s="1" t="str">
        <f t="shared" si="4"/>
        <v>22B</v>
      </c>
    </row>
    <row r="276" spans="5:7" x14ac:dyDescent="0.2">
      <c r="E276" s="1" t="s">
        <v>646</v>
      </c>
      <c r="F276" s="1" t="s">
        <v>647</v>
      </c>
      <c r="G276" s="1" t="str">
        <f t="shared" si="4"/>
        <v>22C</v>
      </c>
    </row>
    <row r="277" spans="5:7" x14ac:dyDescent="0.2">
      <c r="E277" s="1" t="s">
        <v>648</v>
      </c>
      <c r="F277" s="1" t="s">
        <v>649</v>
      </c>
      <c r="G277" s="1" t="str">
        <f t="shared" si="4"/>
        <v>22D</v>
      </c>
    </row>
    <row r="278" spans="5:7" x14ac:dyDescent="0.2">
      <c r="E278" s="1" t="s">
        <v>650</v>
      </c>
      <c r="F278" s="1" t="s">
        <v>651</v>
      </c>
      <c r="G278" s="1" t="str">
        <f t="shared" si="4"/>
        <v>22E</v>
      </c>
    </row>
    <row r="279" spans="5:7" x14ac:dyDescent="0.2">
      <c r="E279" s="1" t="s">
        <v>652</v>
      </c>
      <c r="F279" s="1" t="s">
        <v>653</v>
      </c>
      <c r="G279" s="1" t="str">
        <f t="shared" si="4"/>
        <v>22F</v>
      </c>
    </row>
    <row r="280" spans="5:7" x14ac:dyDescent="0.2">
      <c r="E280" s="1" t="s">
        <v>654</v>
      </c>
      <c r="F280" s="1" t="s">
        <v>655</v>
      </c>
      <c r="G280" s="1" t="str">
        <f t="shared" si="4"/>
        <v>22G</v>
      </c>
    </row>
    <row r="281" spans="5:7" x14ac:dyDescent="0.2">
      <c r="E281" s="1" t="s">
        <v>656</v>
      </c>
      <c r="F281" s="1" t="s">
        <v>657</v>
      </c>
      <c r="G281" s="1" t="str">
        <f t="shared" si="4"/>
        <v>22H</v>
      </c>
    </row>
    <row r="282" spans="5:7" x14ac:dyDescent="0.2">
      <c r="E282" s="1" t="s">
        <v>658</v>
      </c>
      <c r="F282" s="1" t="s">
        <v>659</v>
      </c>
      <c r="G282" s="1" t="str">
        <f t="shared" si="4"/>
        <v>22I</v>
      </c>
    </row>
    <row r="283" spans="5:7" x14ac:dyDescent="0.2">
      <c r="E283" s="1" t="s">
        <v>660</v>
      </c>
      <c r="F283" s="1" t="s">
        <v>661</v>
      </c>
      <c r="G283" s="1" t="str">
        <f t="shared" si="4"/>
        <v>22J</v>
      </c>
    </row>
    <row r="284" spans="5:7" x14ac:dyDescent="0.2">
      <c r="E284" s="1" t="s">
        <v>662</v>
      </c>
      <c r="F284" s="1" t="s">
        <v>663</v>
      </c>
      <c r="G284" s="1" t="str">
        <f t="shared" si="4"/>
        <v>22K</v>
      </c>
    </row>
    <row r="285" spans="5:7" x14ac:dyDescent="0.2">
      <c r="E285" s="1" t="s">
        <v>664</v>
      </c>
      <c r="F285" s="1" t="s">
        <v>665</v>
      </c>
      <c r="G285" s="1" t="str">
        <f t="shared" si="4"/>
        <v>22L</v>
      </c>
    </row>
    <row r="286" spans="5:7" x14ac:dyDescent="0.2">
      <c r="E286" s="1" t="s">
        <v>666</v>
      </c>
      <c r="F286" s="1" t="s">
        <v>667</v>
      </c>
      <c r="G286" s="1" t="str">
        <f t="shared" si="4"/>
        <v>22M</v>
      </c>
    </row>
    <row r="287" spans="5:7" x14ac:dyDescent="0.2">
      <c r="E287" s="1" t="s">
        <v>668</v>
      </c>
      <c r="F287" s="1" t="s">
        <v>669</v>
      </c>
      <c r="G287" s="1" t="str">
        <f t="shared" si="4"/>
        <v>22N</v>
      </c>
    </row>
    <row r="288" spans="5:7" x14ac:dyDescent="0.2">
      <c r="E288" s="1" t="s">
        <v>670</v>
      </c>
      <c r="F288" s="1" t="s">
        <v>671</v>
      </c>
      <c r="G288" s="1" t="str">
        <f t="shared" si="4"/>
        <v>22O</v>
      </c>
    </row>
    <row r="289" spans="5:7" x14ac:dyDescent="0.2">
      <c r="E289" s="1" t="s">
        <v>672</v>
      </c>
      <c r="F289" s="1" t="s">
        <v>673</v>
      </c>
      <c r="G289" s="1" t="str">
        <f t="shared" si="4"/>
        <v>22P</v>
      </c>
    </row>
    <row r="290" spans="5:7" x14ac:dyDescent="0.2">
      <c r="E290" s="1" t="s">
        <v>674</v>
      </c>
      <c r="F290" s="1" t="s">
        <v>675</v>
      </c>
      <c r="G290" s="1" t="str">
        <f t="shared" si="4"/>
        <v>22Q</v>
      </c>
    </row>
    <row r="291" spans="5:7" x14ac:dyDescent="0.2">
      <c r="E291" s="1" t="s">
        <v>676</v>
      </c>
      <c r="F291" s="1" t="s">
        <v>677</v>
      </c>
      <c r="G291" s="1" t="str">
        <f t="shared" si="4"/>
        <v>22R</v>
      </c>
    </row>
    <row r="292" spans="5:7" x14ac:dyDescent="0.2">
      <c r="E292" s="1" t="s">
        <v>678</v>
      </c>
      <c r="F292" s="1" t="s">
        <v>679</v>
      </c>
      <c r="G292" s="1" t="str">
        <f t="shared" si="4"/>
        <v>22S</v>
      </c>
    </row>
    <row r="293" spans="5:7" x14ac:dyDescent="0.2">
      <c r="E293" s="1" t="s">
        <v>680</v>
      </c>
      <c r="F293" s="1" t="s">
        <v>681</v>
      </c>
      <c r="G293" s="1" t="str">
        <f t="shared" si="4"/>
        <v>22T</v>
      </c>
    </row>
    <row r="294" spans="5:7" x14ac:dyDescent="0.2">
      <c r="E294" s="1" t="s">
        <v>682</v>
      </c>
      <c r="F294" s="1" t="s">
        <v>683</v>
      </c>
      <c r="G294" s="1" t="str">
        <f t="shared" si="4"/>
        <v>22U</v>
      </c>
    </row>
    <row r="295" spans="5:7" x14ac:dyDescent="0.2">
      <c r="E295" s="1" t="s">
        <v>684</v>
      </c>
      <c r="F295" s="1" t="s">
        <v>685</v>
      </c>
      <c r="G295" s="1" t="str">
        <f t="shared" si="4"/>
        <v>22V</v>
      </c>
    </row>
    <row r="296" spans="5:7" x14ac:dyDescent="0.2">
      <c r="E296" s="1" t="s">
        <v>686</v>
      </c>
      <c r="F296" s="1" t="s">
        <v>687</v>
      </c>
      <c r="G296" s="1" t="str">
        <f t="shared" si="4"/>
        <v>22W</v>
      </c>
    </row>
    <row r="297" spans="5:7" x14ac:dyDescent="0.2">
      <c r="E297" s="1" t="s">
        <v>688</v>
      </c>
      <c r="F297" s="1" t="s">
        <v>689</v>
      </c>
      <c r="G297" s="1" t="str">
        <f t="shared" si="4"/>
        <v>22X</v>
      </c>
    </row>
    <row r="298" spans="5:7" x14ac:dyDescent="0.2">
      <c r="E298" s="1" t="s">
        <v>690</v>
      </c>
      <c r="F298" s="1" t="s">
        <v>691</v>
      </c>
      <c r="G298" s="1" t="str">
        <f t="shared" si="4"/>
        <v>22Y</v>
      </c>
    </row>
    <row r="299" spans="5:7" x14ac:dyDescent="0.2">
      <c r="E299" s="1" t="s">
        <v>692</v>
      </c>
      <c r="F299" s="1" t="s">
        <v>693</v>
      </c>
      <c r="G299" s="1" t="str">
        <f t="shared" si="4"/>
        <v>23A</v>
      </c>
    </row>
    <row r="300" spans="5:7" x14ac:dyDescent="0.2">
      <c r="E300" s="1" t="s">
        <v>694</v>
      </c>
      <c r="F300" s="1" t="s">
        <v>695</v>
      </c>
      <c r="G300" s="1" t="str">
        <f t="shared" si="4"/>
        <v>23B</v>
      </c>
    </row>
    <row r="301" spans="5:7" x14ac:dyDescent="0.2">
      <c r="E301" s="1" t="s">
        <v>696</v>
      </c>
      <c r="F301" s="1" t="s">
        <v>697</v>
      </c>
      <c r="G301" s="1" t="str">
        <f t="shared" si="4"/>
        <v>23C</v>
      </c>
    </row>
    <row r="302" spans="5:7" x14ac:dyDescent="0.2">
      <c r="E302" s="1" t="s">
        <v>698</v>
      </c>
      <c r="F302" s="1" t="s">
        <v>699</v>
      </c>
      <c r="G302" s="1" t="str">
        <f t="shared" si="4"/>
        <v>23D</v>
      </c>
    </row>
    <row r="303" spans="5:7" x14ac:dyDescent="0.2">
      <c r="E303" s="1" t="s">
        <v>700</v>
      </c>
      <c r="F303" s="1" t="s">
        <v>701</v>
      </c>
      <c r="G303" s="1" t="str">
        <f t="shared" si="4"/>
        <v>23E</v>
      </c>
    </row>
    <row r="304" spans="5:7" x14ac:dyDescent="0.2">
      <c r="E304" s="1" t="s">
        <v>702</v>
      </c>
      <c r="F304" s="1" t="s">
        <v>703</v>
      </c>
      <c r="G304" s="1" t="str">
        <f t="shared" si="4"/>
        <v>23F</v>
      </c>
    </row>
    <row r="305" spans="5:7" x14ac:dyDescent="0.2">
      <c r="E305" s="1" t="s">
        <v>704</v>
      </c>
      <c r="F305" s="1" t="s">
        <v>705</v>
      </c>
      <c r="G305" s="1" t="str">
        <f t="shared" si="4"/>
        <v>24A</v>
      </c>
    </row>
    <row r="306" spans="5:7" x14ac:dyDescent="0.2">
      <c r="E306" s="1" t="s">
        <v>706</v>
      </c>
      <c r="F306" s="1" t="s">
        <v>707</v>
      </c>
      <c r="G306" s="1" t="str">
        <f t="shared" si="4"/>
        <v>24B</v>
      </c>
    </row>
    <row r="307" spans="5:7" x14ac:dyDescent="0.2">
      <c r="E307" s="1" t="s">
        <v>708</v>
      </c>
      <c r="F307" s="1" t="s">
        <v>709</v>
      </c>
      <c r="G307" s="1" t="str">
        <f t="shared" si="4"/>
        <v>24C</v>
      </c>
    </row>
    <row r="308" spans="5:7" x14ac:dyDescent="0.2">
      <c r="E308" s="1" t="s">
        <v>710</v>
      </c>
      <c r="F308" s="1" t="s">
        <v>711</v>
      </c>
      <c r="G308" s="1" t="str">
        <f t="shared" si="4"/>
        <v>24D</v>
      </c>
    </row>
    <row r="309" spans="5:7" x14ac:dyDescent="0.2">
      <c r="E309" s="1" t="s">
        <v>712</v>
      </c>
      <c r="F309" s="1" t="s">
        <v>713</v>
      </c>
      <c r="G309" s="1" t="str">
        <f t="shared" si="4"/>
        <v>24E</v>
      </c>
    </row>
    <row r="310" spans="5:7" x14ac:dyDescent="0.2">
      <c r="E310" s="1" t="s">
        <v>714</v>
      </c>
      <c r="F310" s="1" t="s">
        <v>673</v>
      </c>
      <c r="G310" s="1" t="str">
        <f t="shared" si="4"/>
        <v>24F</v>
      </c>
    </row>
    <row r="311" spans="5:7" x14ac:dyDescent="0.2">
      <c r="E311" s="1" t="s">
        <v>715</v>
      </c>
      <c r="F311" s="1" t="s">
        <v>716</v>
      </c>
      <c r="G311" s="1" t="str">
        <f t="shared" si="4"/>
        <v>24G</v>
      </c>
    </row>
    <row r="312" spans="5:7" x14ac:dyDescent="0.2">
      <c r="E312" s="1" t="s">
        <v>717</v>
      </c>
      <c r="F312" s="1" t="s">
        <v>718</v>
      </c>
      <c r="G312" s="1" t="str">
        <f t="shared" si="4"/>
        <v>25A</v>
      </c>
    </row>
    <row r="313" spans="5:7" x14ac:dyDescent="0.2">
      <c r="E313" s="1" t="s">
        <v>719</v>
      </c>
      <c r="F313" s="1" t="s">
        <v>720</v>
      </c>
      <c r="G313" s="1" t="str">
        <f t="shared" si="4"/>
        <v>25B</v>
      </c>
    </row>
    <row r="314" spans="5:7" x14ac:dyDescent="0.2">
      <c r="E314" s="1" t="s">
        <v>721</v>
      </c>
      <c r="F314" s="1" t="s">
        <v>722</v>
      </c>
      <c r="G314" s="1" t="str">
        <f t="shared" si="4"/>
        <v>25C</v>
      </c>
    </row>
    <row r="315" spans="5:7" x14ac:dyDescent="0.2">
      <c r="E315" s="1" t="s">
        <v>723</v>
      </c>
      <c r="F315" s="1" t="s">
        <v>724</v>
      </c>
      <c r="G315" s="1" t="str">
        <f t="shared" si="4"/>
        <v>25D</v>
      </c>
    </row>
    <row r="316" spans="5:7" x14ac:dyDescent="0.2">
      <c r="E316" s="1" t="s">
        <v>725</v>
      </c>
      <c r="F316" s="1" t="s">
        <v>726</v>
      </c>
      <c r="G316" s="1" t="str">
        <f t="shared" si="4"/>
        <v>25E</v>
      </c>
    </row>
    <row r="317" spans="5:7" x14ac:dyDescent="0.2">
      <c r="E317" s="1" t="s">
        <v>727</v>
      </c>
      <c r="F317" s="1" t="s">
        <v>728</v>
      </c>
      <c r="G317" s="1" t="str">
        <f t="shared" si="4"/>
        <v>25F</v>
      </c>
    </row>
    <row r="318" spans="5:7" x14ac:dyDescent="0.2">
      <c r="E318" s="1" t="s">
        <v>729</v>
      </c>
      <c r="F318" s="1" t="s">
        <v>730</v>
      </c>
      <c r="G318" s="1" t="str">
        <f t="shared" si="4"/>
        <v>25G</v>
      </c>
    </row>
    <row r="319" spans="5:7" x14ac:dyDescent="0.2">
      <c r="E319" s="1" t="s">
        <v>731</v>
      </c>
      <c r="F319" s="1" t="s">
        <v>732</v>
      </c>
      <c r="G319" s="1" t="str">
        <f t="shared" si="4"/>
        <v>25H</v>
      </c>
    </row>
    <row r="320" spans="5:7" x14ac:dyDescent="0.2">
      <c r="E320" s="1" t="s">
        <v>733</v>
      </c>
      <c r="F320" s="1" t="s">
        <v>734</v>
      </c>
      <c r="G320" s="1" t="str">
        <f t="shared" si="4"/>
        <v>25I</v>
      </c>
    </row>
    <row r="321" spans="5:7" x14ac:dyDescent="0.2">
      <c r="E321" s="1" t="s">
        <v>735</v>
      </c>
      <c r="F321" s="1" t="s">
        <v>736</v>
      </c>
      <c r="G321" s="1" t="str">
        <f t="shared" si="4"/>
        <v>25J</v>
      </c>
    </row>
    <row r="322" spans="5:7" x14ac:dyDescent="0.2">
      <c r="E322" s="1" t="s">
        <v>737</v>
      </c>
      <c r="F322" s="1" t="s">
        <v>738</v>
      </c>
      <c r="G322" s="1" t="str">
        <f t="shared" si="4"/>
        <v>25K</v>
      </c>
    </row>
    <row r="323" spans="5:7" x14ac:dyDescent="0.2">
      <c r="E323" s="1" t="s">
        <v>739</v>
      </c>
      <c r="F323" s="1" t="s">
        <v>740</v>
      </c>
      <c r="G323" s="1" t="str">
        <f t="shared" ref="G323:G386" si="5">E323</f>
        <v>25L</v>
      </c>
    </row>
    <row r="324" spans="5:7" x14ac:dyDescent="0.2">
      <c r="E324" s="1" t="s">
        <v>741</v>
      </c>
      <c r="F324" s="1" t="s">
        <v>742</v>
      </c>
      <c r="G324" s="1" t="str">
        <f t="shared" si="5"/>
        <v>25M</v>
      </c>
    </row>
    <row r="325" spans="5:7" x14ac:dyDescent="0.2">
      <c r="E325" s="1" t="s">
        <v>743</v>
      </c>
      <c r="F325" s="1" t="s">
        <v>744</v>
      </c>
      <c r="G325" s="1" t="str">
        <f t="shared" si="5"/>
        <v>26A</v>
      </c>
    </row>
    <row r="326" spans="5:7" x14ac:dyDescent="0.2">
      <c r="E326" s="1" t="s">
        <v>745</v>
      </c>
      <c r="F326" s="1" t="s">
        <v>746</v>
      </c>
      <c r="G326" s="1" t="str">
        <f t="shared" si="5"/>
        <v>26B</v>
      </c>
    </row>
    <row r="327" spans="5:7" x14ac:dyDescent="0.2">
      <c r="E327" s="1" t="s">
        <v>747</v>
      </c>
      <c r="F327" s="1" t="s">
        <v>748</v>
      </c>
      <c r="G327" s="1" t="str">
        <f t="shared" si="5"/>
        <v>26C</v>
      </c>
    </row>
    <row r="328" spans="5:7" x14ac:dyDescent="0.2">
      <c r="E328" s="1" t="s">
        <v>749</v>
      </c>
      <c r="F328" s="1" t="s">
        <v>750</v>
      </c>
      <c r="G328" s="1" t="str">
        <f t="shared" si="5"/>
        <v>26D</v>
      </c>
    </row>
    <row r="329" spans="5:7" x14ac:dyDescent="0.2">
      <c r="E329" s="1" t="s">
        <v>751</v>
      </c>
      <c r="F329" s="1" t="s">
        <v>752</v>
      </c>
      <c r="G329" s="1" t="str">
        <f t="shared" si="5"/>
        <v>26E</v>
      </c>
    </row>
    <row r="330" spans="5:7" x14ac:dyDescent="0.2">
      <c r="E330" s="1" t="s">
        <v>753</v>
      </c>
      <c r="F330" s="1" t="s">
        <v>754</v>
      </c>
      <c r="G330" s="1" t="str">
        <f t="shared" si="5"/>
        <v>26F</v>
      </c>
    </row>
    <row r="331" spans="5:7" x14ac:dyDescent="0.2">
      <c r="E331" s="1" t="s">
        <v>755</v>
      </c>
      <c r="F331" s="1" t="s">
        <v>756</v>
      </c>
      <c r="G331" s="1" t="str">
        <f t="shared" si="5"/>
        <v>26G</v>
      </c>
    </row>
    <row r="332" spans="5:7" x14ac:dyDescent="0.2">
      <c r="E332" s="1" t="s">
        <v>757</v>
      </c>
      <c r="F332" s="1" t="s">
        <v>758</v>
      </c>
      <c r="G332" s="1" t="str">
        <f t="shared" si="5"/>
        <v>26H</v>
      </c>
    </row>
    <row r="333" spans="5:7" x14ac:dyDescent="0.2">
      <c r="E333" s="1" t="s">
        <v>759</v>
      </c>
      <c r="F333" s="1" t="s">
        <v>760</v>
      </c>
      <c r="G333" s="1" t="str">
        <f t="shared" si="5"/>
        <v>26I</v>
      </c>
    </row>
    <row r="334" spans="5:7" x14ac:dyDescent="0.2">
      <c r="E334" s="1" t="s">
        <v>761</v>
      </c>
      <c r="F334" s="1" t="s">
        <v>762</v>
      </c>
      <c r="G334" s="1" t="str">
        <f t="shared" si="5"/>
        <v>26J</v>
      </c>
    </row>
    <row r="335" spans="5:7" x14ac:dyDescent="0.2">
      <c r="E335" s="1" t="s">
        <v>763</v>
      </c>
      <c r="F335" s="1" t="s">
        <v>764</v>
      </c>
      <c r="G335" s="1" t="str">
        <f t="shared" si="5"/>
        <v>26K</v>
      </c>
    </row>
    <row r="336" spans="5:7" x14ac:dyDescent="0.2">
      <c r="E336" s="1" t="s">
        <v>765</v>
      </c>
      <c r="F336" s="1" t="s">
        <v>766</v>
      </c>
      <c r="G336" s="1" t="str">
        <f t="shared" si="5"/>
        <v>26L</v>
      </c>
    </row>
    <row r="337" spans="5:7" x14ac:dyDescent="0.2">
      <c r="E337" s="1" t="s">
        <v>767</v>
      </c>
      <c r="F337" s="1" t="s">
        <v>768</v>
      </c>
      <c r="G337" s="1" t="str">
        <f t="shared" si="5"/>
        <v>26M</v>
      </c>
    </row>
    <row r="338" spans="5:7" x14ac:dyDescent="0.2">
      <c r="E338" s="1" t="s">
        <v>769</v>
      </c>
      <c r="F338" s="1" t="s">
        <v>770</v>
      </c>
      <c r="G338" s="1" t="str">
        <f t="shared" si="5"/>
        <v>26N</v>
      </c>
    </row>
    <row r="339" spans="5:7" x14ac:dyDescent="0.2">
      <c r="E339" s="1" t="s">
        <v>771</v>
      </c>
      <c r="F339" s="1" t="s">
        <v>772</v>
      </c>
      <c r="G339" s="1" t="str">
        <f t="shared" si="5"/>
        <v>26O</v>
      </c>
    </row>
    <row r="340" spans="5:7" x14ac:dyDescent="0.2">
      <c r="E340" s="1" t="s">
        <v>773</v>
      </c>
      <c r="F340" s="1" t="s">
        <v>774</v>
      </c>
      <c r="G340" s="1" t="str">
        <f t="shared" si="5"/>
        <v>26P</v>
      </c>
    </row>
    <row r="341" spans="5:7" x14ac:dyDescent="0.2">
      <c r="E341" s="1" t="s">
        <v>775</v>
      </c>
      <c r="F341" s="1" t="s">
        <v>776</v>
      </c>
      <c r="G341" s="1" t="str">
        <f t="shared" si="5"/>
        <v>26Q</v>
      </c>
    </row>
    <row r="342" spans="5:7" x14ac:dyDescent="0.2">
      <c r="E342" s="1" t="s">
        <v>777</v>
      </c>
      <c r="F342" s="1" t="s">
        <v>778</v>
      </c>
      <c r="G342" s="1" t="str">
        <f t="shared" si="5"/>
        <v>26R</v>
      </c>
    </row>
    <row r="343" spans="5:7" x14ac:dyDescent="0.2">
      <c r="E343" s="1" t="s">
        <v>779</v>
      </c>
      <c r="F343" s="1" t="s">
        <v>780</v>
      </c>
      <c r="G343" s="1" t="str">
        <f t="shared" si="5"/>
        <v>26S</v>
      </c>
    </row>
    <row r="344" spans="5:7" x14ac:dyDescent="0.2">
      <c r="E344" s="1" t="s">
        <v>781</v>
      </c>
      <c r="F344" s="1" t="s">
        <v>782</v>
      </c>
      <c r="G344" s="1" t="str">
        <f t="shared" si="5"/>
        <v>26T</v>
      </c>
    </row>
    <row r="345" spans="5:7" x14ac:dyDescent="0.2">
      <c r="E345" s="1" t="s">
        <v>783</v>
      </c>
      <c r="F345" s="1" t="s">
        <v>784</v>
      </c>
      <c r="G345" s="1" t="str">
        <f t="shared" si="5"/>
        <v>26U</v>
      </c>
    </row>
    <row r="346" spans="5:7" x14ac:dyDescent="0.2">
      <c r="E346" s="1" t="s">
        <v>785</v>
      </c>
      <c r="F346" s="1" t="s">
        <v>786</v>
      </c>
      <c r="G346" s="1" t="str">
        <f t="shared" si="5"/>
        <v>26V</v>
      </c>
    </row>
    <row r="347" spans="5:7" x14ac:dyDescent="0.2">
      <c r="E347" s="1" t="s">
        <v>787</v>
      </c>
      <c r="F347" s="1" t="s">
        <v>788</v>
      </c>
      <c r="G347" s="1" t="str">
        <f t="shared" si="5"/>
        <v>26W</v>
      </c>
    </row>
    <row r="348" spans="5:7" x14ac:dyDescent="0.2">
      <c r="E348" s="1" t="s">
        <v>789</v>
      </c>
      <c r="F348" s="1" t="s">
        <v>790</v>
      </c>
      <c r="G348" s="1" t="str">
        <f t="shared" si="5"/>
        <v>26X</v>
      </c>
    </row>
    <row r="349" spans="5:7" x14ac:dyDescent="0.2">
      <c r="E349" s="1" t="s">
        <v>791</v>
      </c>
      <c r="F349" s="1" t="s">
        <v>792</v>
      </c>
      <c r="G349" s="1" t="str">
        <f t="shared" si="5"/>
        <v>26Y</v>
      </c>
    </row>
    <row r="350" spans="5:7" x14ac:dyDescent="0.2">
      <c r="E350" s="1" t="s">
        <v>793</v>
      </c>
      <c r="F350" s="1" t="s">
        <v>794</v>
      </c>
      <c r="G350" s="1" t="str">
        <f t="shared" si="5"/>
        <v>27A</v>
      </c>
    </row>
    <row r="351" spans="5:7" x14ac:dyDescent="0.2">
      <c r="E351" s="1" t="s">
        <v>795</v>
      </c>
      <c r="F351" s="1" t="s">
        <v>796</v>
      </c>
      <c r="G351" s="1" t="str">
        <f t="shared" si="5"/>
        <v>27B</v>
      </c>
    </row>
    <row r="352" spans="5:7" x14ac:dyDescent="0.2">
      <c r="E352" s="1" t="s">
        <v>797</v>
      </c>
      <c r="F352" s="1" t="s">
        <v>798</v>
      </c>
      <c r="G352" s="1" t="str">
        <f t="shared" si="5"/>
        <v>27C</v>
      </c>
    </row>
    <row r="353" spans="5:7" x14ac:dyDescent="0.2">
      <c r="E353" s="1" t="s">
        <v>799</v>
      </c>
      <c r="F353" s="1" t="s">
        <v>800</v>
      </c>
      <c r="G353" s="1" t="str">
        <f t="shared" si="5"/>
        <v>27D</v>
      </c>
    </row>
    <row r="354" spans="5:7" x14ac:dyDescent="0.2">
      <c r="E354" s="1" t="s">
        <v>801</v>
      </c>
      <c r="F354" s="1" t="s">
        <v>802</v>
      </c>
      <c r="G354" s="1" t="str">
        <f t="shared" si="5"/>
        <v>27E</v>
      </c>
    </row>
    <row r="355" spans="5:7" x14ac:dyDescent="0.2">
      <c r="E355" s="1" t="s">
        <v>803</v>
      </c>
      <c r="F355" s="1" t="s">
        <v>804</v>
      </c>
      <c r="G355" s="1" t="str">
        <f t="shared" si="5"/>
        <v>27F</v>
      </c>
    </row>
    <row r="356" spans="5:7" x14ac:dyDescent="0.2">
      <c r="E356" s="1" t="s">
        <v>805</v>
      </c>
      <c r="F356" s="1" t="s">
        <v>806</v>
      </c>
      <c r="G356" s="1" t="str">
        <f t="shared" si="5"/>
        <v>27G</v>
      </c>
    </row>
    <row r="357" spans="5:7" x14ac:dyDescent="0.2">
      <c r="E357" s="1" t="s">
        <v>807</v>
      </c>
      <c r="F357" s="1" t="s">
        <v>808</v>
      </c>
      <c r="G357" s="1" t="str">
        <f t="shared" si="5"/>
        <v>27H</v>
      </c>
    </row>
    <row r="358" spans="5:7" x14ac:dyDescent="0.2">
      <c r="E358" s="1" t="s">
        <v>809</v>
      </c>
      <c r="F358" s="1" t="s">
        <v>810</v>
      </c>
      <c r="G358" s="1" t="str">
        <f t="shared" si="5"/>
        <v>27I</v>
      </c>
    </row>
    <row r="359" spans="5:7" x14ac:dyDescent="0.2">
      <c r="E359" s="1" t="s">
        <v>811</v>
      </c>
      <c r="F359" s="1" t="s">
        <v>812</v>
      </c>
      <c r="G359" s="1" t="str">
        <f t="shared" si="5"/>
        <v>27J</v>
      </c>
    </row>
    <row r="360" spans="5:7" x14ac:dyDescent="0.2">
      <c r="E360" s="1" t="s">
        <v>813</v>
      </c>
      <c r="F360" s="1" t="s">
        <v>814</v>
      </c>
      <c r="G360" s="1" t="str">
        <f t="shared" si="5"/>
        <v>27K</v>
      </c>
    </row>
    <row r="361" spans="5:7" x14ac:dyDescent="0.2">
      <c r="E361" s="1" t="s">
        <v>815</v>
      </c>
      <c r="F361" s="1" t="s">
        <v>816</v>
      </c>
      <c r="G361" s="1" t="str">
        <f t="shared" si="5"/>
        <v>27L</v>
      </c>
    </row>
    <row r="362" spans="5:7" x14ac:dyDescent="0.2">
      <c r="E362" s="1" t="s">
        <v>817</v>
      </c>
      <c r="F362" s="1" t="s">
        <v>818</v>
      </c>
      <c r="G362" s="1" t="str">
        <f t="shared" si="5"/>
        <v>27M</v>
      </c>
    </row>
    <row r="363" spans="5:7" x14ac:dyDescent="0.2">
      <c r="E363" s="1" t="s">
        <v>819</v>
      </c>
      <c r="F363" s="1" t="s">
        <v>820</v>
      </c>
      <c r="G363" s="1" t="str">
        <f t="shared" si="5"/>
        <v>27N</v>
      </c>
    </row>
    <row r="364" spans="5:7" x14ac:dyDescent="0.2">
      <c r="E364" s="1" t="s">
        <v>821</v>
      </c>
      <c r="F364" s="1" t="s">
        <v>822</v>
      </c>
      <c r="G364" s="1" t="str">
        <f t="shared" si="5"/>
        <v>27O</v>
      </c>
    </row>
    <row r="365" spans="5:7" x14ac:dyDescent="0.2">
      <c r="E365" s="1" t="s">
        <v>823</v>
      </c>
      <c r="F365" s="1" t="s">
        <v>824</v>
      </c>
      <c r="G365" s="1" t="str">
        <f t="shared" si="5"/>
        <v>27P</v>
      </c>
    </row>
    <row r="366" spans="5:7" x14ac:dyDescent="0.2">
      <c r="E366" s="1" t="s">
        <v>825</v>
      </c>
      <c r="F366" s="1" t="s">
        <v>826</v>
      </c>
      <c r="G366" s="1" t="str">
        <f t="shared" si="5"/>
        <v>27Q</v>
      </c>
    </row>
    <row r="367" spans="5:7" x14ac:dyDescent="0.2">
      <c r="E367" s="1" t="s">
        <v>827</v>
      </c>
      <c r="F367" s="1" t="s">
        <v>828</v>
      </c>
      <c r="G367" s="1" t="str">
        <f t="shared" si="5"/>
        <v>27R</v>
      </c>
    </row>
    <row r="368" spans="5:7" x14ac:dyDescent="0.2">
      <c r="E368" s="1" t="s">
        <v>829</v>
      </c>
      <c r="F368" s="1" t="s">
        <v>830</v>
      </c>
      <c r="G368" s="1" t="str">
        <f t="shared" si="5"/>
        <v>27S</v>
      </c>
    </row>
    <row r="369" spans="5:7" x14ac:dyDescent="0.2">
      <c r="E369" s="1" t="s">
        <v>831</v>
      </c>
      <c r="F369" s="1" t="s">
        <v>832</v>
      </c>
      <c r="G369" s="1" t="str">
        <f t="shared" si="5"/>
        <v>27T</v>
      </c>
    </row>
    <row r="370" spans="5:7" x14ac:dyDescent="0.2">
      <c r="E370" s="1" t="s">
        <v>833</v>
      </c>
      <c r="F370" s="1" t="s">
        <v>834</v>
      </c>
      <c r="G370" s="1" t="str">
        <f t="shared" si="5"/>
        <v>28A</v>
      </c>
    </row>
    <row r="371" spans="5:7" x14ac:dyDescent="0.2">
      <c r="E371" s="1" t="s">
        <v>835</v>
      </c>
      <c r="F371" s="1" t="s">
        <v>836</v>
      </c>
      <c r="G371" s="1" t="str">
        <f t="shared" si="5"/>
        <v>28B</v>
      </c>
    </row>
    <row r="372" spans="5:7" x14ac:dyDescent="0.2">
      <c r="E372" s="1" t="s">
        <v>837</v>
      </c>
      <c r="F372" s="1" t="s">
        <v>838</v>
      </c>
      <c r="G372" s="1" t="str">
        <f t="shared" si="5"/>
        <v>28C</v>
      </c>
    </row>
    <row r="373" spans="5:7" x14ac:dyDescent="0.2">
      <c r="E373" s="1" t="s">
        <v>839</v>
      </c>
      <c r="F373" s="1" t="s">
        <v>840</v>
      </c>
      <c r="G373" s="1" t="str">
        <f t="shared" si="5"/>
        <v>28D</v>
      </c>
    </row>
    <row r="374" spans="5:7" x14ac:dyDescent="0.2">
      <c r="E374" s="1" t="s">
        <v>841</v>
      </c>
      <c r="F374" s="1" t="s">
        <v>842</v>
      </c>
      <c r="G374" s="1" t="str">
        <f t="shared" si="5"/>
        <v>28E</v>
      </c>
    </row>
    <row r="375" spans="5:7" x14ac:dyDescent="0.2">
      <c r="E375" s="1" t="s">
        <v>843</v>
      </c>
      <c r="F375" s="1" t="s">
        <v>844</v>
      </c>
      <c r="G375" s="1" t="str">
        <f t="shared" si="5"/>
        <v>28F</v>
      </c>
    </row>
    <row r="376" spans="5:7" x14ac:dyDescent="0.2">
      <c r="E376" s="1" t="s">
        <v>845</v>
      </c>
      <c r="F376" s="1" t="s">
        <v>846</v>
      </c>
      <c r="G376" s="1" t="str">
        <f t="shared" si="5"/>
        <v>28G</v>
      </c>
    </row>
    <row r="377" spans="5:7" x14ac:dyDescent="0.2">
      <c r="E377" s="1" t="s">
        <v>847</v>
      </c>
      <c r="F377" s="1" t="s">
        <v>848</v>
      </c>
      <c r="G377" s="1" t="str">
        <f t="shared" si="5"/>
        <v>28H</v>
      </c>
    </row>
    <row r="378" spans="5:7" x14ac:dyDescent="0.2">
      <c r="E378" s="1" t="s">
        <v>849</v>
      </c>
      <c r="F378" s="1" t="s">
        <v>850</v>
      </c>
      <c r="G378" s="1" t="str">
        <f t="shared" si="5"/>
        <v>28I</v>
      </c>
    </row>
    <row r="379" spans="5:7" x14ac:dyDescent="0.2">
      <c r="E379" s="1" t="s">
        <v>851</v>
      </c>
      <c r="F379" s="1" t="s">
        <v>852</v>
      </c>
      <c r="G379" s="1" t="str">
        <f t="shared" si="5"/>
        <v>28J</v>
      </c>
    </row>
    <row r="380" spans="5:7" x14ac:dyDescent="0.2">
      <c r="E380" s="1" t="s">
        <v>853</v>
      </c>
      <c r="F380" s="1" t="s">
        <v>854</v>
      </c>
      <c r="G380" s="1" t="str">
        <f t="shared" si="5"/>
        <v>28K</v>
      </c>
    </row>
    <row r="381" spans="5:7" x14ac:dyDescent="0.2">
      <c r="E381" s="1" t="s">
        <v>855</v>
      </c>
      <c r="F381" s="1" t="s">
        <v>856</v>
      </c>
      <c r="G381" s="1" t="str">
        <f t="shared" si="5"/>
        <v>28L</v>
      </c>
    </row>
    <row r="382" spans="5:7" x14ac:dyDescent="0.2">
      <c r="E382" s="1" t="s">
        <v>857</v>
      </c>
      <c r="F382" s="1" t="s">
        <v>858</v>
      </c>
      <c r="G382" s="1" t="str">
        <f t="shared" si="5"/>
        <v>28M</v>
      </c>
    </row>
    <row r="383" spans="5:7" x14ac:dyDescent="0.2">
      <c r="E383" s="1" t="s">
        <v>859</v>
      </c>
      <c r="F383" s="1" t="s">
        <v>860</v>
      </c>
      <c r="G383" s="1" t="str">
        <f t="shared" si="5"/>
        <v>28N</v>
      </c>
    </row>
    <row r="384" spans="5:7" x14ac:dyDescent="0.2">
      <c r="E384" s="1" t="s">
        <v>861</v>
      </c>
      <c r="F384" s="1" t="s">
        <v>862</v>
      </c>
      <c r="G384" s="1" t="str">
        <f t="shared" si="5"/>
        <v>28O</v>
      </c>
    </row>
    <row r="385" spans="5:7" x14ac:dyDescent="0.2">
      <c r="E385" s="1" t="s">
        <v>863</v>
      </c>
      <c r="F385" s="1" t="s">
        <v>864</v>
      </c>
      <c r="G385" s="1" t="str">
        <f t="shared" si="5"/>
        <v>28P</v>
      </c>
    </row>
    <row r="386" spans="5:7" x14ac:dyDescent="0.2">
      <c r="E386" s="1" t="s">
        <v>865</v>
      </c>
      <c r="F386" s="1" t="s">
        <v>866</v>
      </c>
      <c r="G386" s="1" t="str">
        <f t="shared" si="5"/>
        <v>28Q</v>
      </c>
    </row>
    <row r="387" spans="5:7" x14ac:dyDescent="0.2">
      <c r="E387" s="1" t="s">
        <v>867</v>
      </c>
      <c r="F387" s="1" t="s">
        <v>868</v>
      </c>
      <c r="G387" s="1" t="str">
        <f t="shared" ref="G387:G407" si="6">E387</f>
        <v>28R</v>
      </c>
    </row>
    <row r="388" spans="5:7" x14ac:dyDescent="0.2">
      <c r="E388" s="1" t="s">
        <v>869</v>
      </c>
      <c r="F388" s="1" t="s">
        <v>870</v>
      </c>
      <c r="G388" s="1" t="str">
        <f t="shared" si="6"/>
        <v>28S</v>
      </c>
    </row>
    <row r="389" spans="5:7" x14ac:dyDescent="0.2">
      <c r="E389" s="1" t="s">
        <v>871</v>
      </c>
      <c r="F389" s="1" t="s">
        <v>872</v>
      </c>
      <c r="G389" s="1" t="str">
        <f t="shared" si="6"/>
        <v>28T</v>
      </c>
    </row>
    <row r="390" spans="5:7" x14ac:dyDescent="0.2">
      <c r="E390" s="1" t="s">
        <v>873</v>
      </c>
      <c r="F390" s="1" t="s">
        <v>874</v>
      </c>
      <c r="G390" s="1" t="str">
        <f t="shared" si="6"/>
        <v>29A</v>
      </c>
    </row>
    <row r="391" spans="5:7" x14ac:dyDescent="0.2">
      <c r="E391" s="1" t="s">
        <v>875</v>
      </c>
      <c r="F391" s="1" t="s">
        <v>876</v>
      </c>
      <c r="G391" s="1" t="str">
        <f t="shared" si="6"/>
        <v>29B</v>
      </c>
    </row>
    <row r="392" spans="5:7" x14ac:dyDescent="0.2">
      <c r="E392" s="1" t="s">
        <v>877</v>
      </c>
      <c r="F392" s="1" t="s">
        <v>878</v>
      </c>
      <c r="G392" s="1" t="str">
        <f t="shared" si="6"/>
        <v>29C</v>
      </c>
    </row>
    <row r="393" spans="5:7" x14ac:dyDescent="0.2">
      <c r="E393" s="1" t="s">
        <v>879</v>
      </c>
      <c r="F393" s="1" t="s">
        <v>880</v>
      </c>
      <c r="G393" s="1" t="str">
        <f t="shared" si="6"/>
        <v>29D</v>
      </c>
    </row>
    <row r="394" spans="5:7" x14ac:dyDescent="0.2">
      <c r="E394" s="1" t="s">
        <v>881</v>
      </c>
      <c r="F394" s="1" t="s">
        <v>882</v>
      </c>
      <c r="G394" s="1" t="str">
        <f t="shared" si="6"/>
        <v>29E</v>
      </c>
    </row>
    <row r="395" spans="5:7" x14ac:dyDescent="0.2">
      <c r="E395" s="1" t="s">
        <v>883</v>
      </c>
      <c r="F395" s="1" t="s">
        <v>884</v>
      </c>
      <c r="G395" s="1" t="str">
        <f t="shared" si="6"/>
        <v>29F</v>
      </c>
    </row>
    <row r="396" spans="5:7" x14ac:dyDescent="0.2">
      <c r="E396" s="1" t="s">
        <v>885</v>
      </c>
      <c r="F396" s="1" t="s">
        <v>886</v>
      </c>
      <c r="G396" s="1" t="str">
        <f t="shared" si="6"/>
        <v>29G</v>
      </c>
    </row>
    <row r="397" spans="5:7" x14ac:dyDescent="0.2">
      <c r="E397" s="1" t="s">
        <v>887</v>
      </c>
      <c r="F397" s="1" t="s">
        <v>888</v>
      </c>
      <c r="G397" s="1" t="str">
        <f t="shared" si="6"/>
        <v>30A</v>
      </c>
    </row>
    <row r="398" spans="5:7" x14ac:dyDescent="0.2">
      <c r="E398" s="1" t="s">
        <v>889</v>
      </c>
      <c r="F398" s="1" t="s">
        <v>890</v>
      </c>
      <c r="G398" s="1" t="str">
        <f t="shared" si="6"/>
        <v>30B</v>
      </c>
    </row>
    <row r="399" spans="5:7" x14ac:dyDescent="0.2">
      <c r="E399" s="1" t="s">
        <v>891</v>
      </c>
      <c r="F399" s="1" t="s">
        <v>892</v>
      </c>
      <c r="G399" s="1" t="str">
        <f t="shared" si="6"/>
        <v>30C</v>
      </c>
    </row>
    <row r="400" spans="5:7" x14ac:dyDescent="0.2">
      <c r="E400" s="1" t="s">
        <v>893</v>
      </c>
      <c r="F400" s="1" t="s">
        <v>894</v>
      </c>
      <c r="G400" s="1" t="str">
        <f t="shared" si="6"/>
        <v>30D</v>
      </c>
    </row>
    <row r="401" spans="5:7" x14ac:dyDescent="0.2">
      <c r="E401" s="1" t="s">
        <v>895</v>
      </c>
      <c r="F401" s="1" t="s">
        <v>896</v>
      </c>
      <c r="G401" s="1" t="str">
        <f t="shared" si="6"/>
        <v>30E</v>
      </c>
    </row>
    <row r="402" spans="5:7" x14ac:dyDescent="0.2">
      <c r="E402" s="1" t="s">
        <v>897</v>
      </c>
      <c r="F402" s="1" t="s">
        <v>898</v>
      </c>
      <c r="G402" s="1" t="str">
        <f t="shared" si="6"/>
        <v>30F</v>
      </c>
    </row>
    <row r="403" spans="5:7" x14ac:dyDescent="0.2">
      <c r="E403" s="1" t="s">
        <v>899</v>
      </c>
      <c r="F403" s="1" t="s">
        <v>900</v>
      </c>
      <c r="G403" s="1" t="str">
        <f t="shared" si="6"/>
        <v>30G</v>
      </c>
    </row>
    <row r="404" spans="5:7" x14ac:dyDescent="0.2">
      <c r="E404" s="1" t="s">
        <v>901</v>
      </c>
      <c r="F404" s="1" t="s">
        <v>902</v>
      </c>
      <c r="G404" s="1" t="str">
        <f t="shared" si="6"/>
        <v>31A</v>
      </c>
    </row>
    <row r="405" spans="5:7" x14ac:dyDescent="0.2">
      <c r="E405" s="1" t="s">
        <v>903</v>
      </c>
      <c r="F405" s="1" t="s">
        <v>904</v>
      </c>
      <c r="G405" s="1" t="str">
        <f t="shared" si="6"/>
        <v>31B</v>
      </c>
    </row>
    <row r="406" spans="5:7" x14ac:dyDescent="0.2">
      <c r="E406" s="1" t="s">
        <v>905</v>
      </c>
      <c r="F406" s="1" t="s">
        <v>69</v>
      </c>
      <c r="G406" s="1" t="str">
        <f t="shared" si="6"/>
        <v>32A</v>
      </c>
    </row>
    <row r="407" spans="5:7" x14ac:dyDescent="0.2">
      <c r="E407" s="1" t="s">
        <v>906</v>
      </c>
      <c r="F407" s="1" t="s">
        <v>69</v>
      </c>
      <c r="G407" s="1" t="str">
        <f t="shared" si="6"/>
        <v>97A</v>
      </c>
    </row>
  </sheetData>
  <phoneticPr fontId="7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49</vt:i4>
      </vt:variant>
    </vt:vector>
  </HeadingPairs>
  <TitlesOfParts>
    <vt:vector size="58" baseType="lpstr">
      <vt:lpstr>Notes</vt:lpstr>
      <vt:lpstr>Totals</vt:lpstr>
      <vt:lpstr>Detail</vt:lpstr>
      <vt:lpstr>Personnel</vt:lpstr>
      <vt:lpstr>Crew</vt:lpstr>
      <vt:lpstr>Comparison</vt:lpstr>
      <vt:lpstr>Schedule</vt:lpstr>
      <vt:lpstr>Assumptions</vt:lpstr>
      <vt:lpstr>Parameters</vt:lpstr>
      <vt:lpstr>Codes01</vt:lpstr>
      <vt:lpstr>Codes03</vt:lpstr>
      <vt:lpstr>Codes04</vt:lpstr>
      <vt:lpstr>Codes06</vt:lpstr>
      <vt:lpstr>Codes07</vt:lpstr>
      <vt:lpstr>Codes08</vt:lpstr>
      <vt:lpstr>Codes09</vt:lpstr>
      <vt:lpstr>Codes10</vt:lpstr>
      <vt:lpstr>Codes11</vt:lpstr>
      <vt:lpstr>Codes12</vt:lpstr>
      <vt:lpstr>Codes13</vt:lpstr>
      <vt:lpstr>Codes14</vt:lpstr>
      <vt:lpstr>Codes15</vt:lpstr>
      <vt:lpstr>Codes16</vt:lpstr>
      <vt:lpstr>Codes17</vt:lpstr>
      <vt:lpstr>Codes18</vt:lpstr>
      <vt:lpstr>Codes19</vt:lpstr>
      <vt:lpstr>Codes20</vt:lpstr>
      <vt:lpstr>Codes21</vt:lpstr>
      <vt:lpstr>Codes22</vt:lpstr>
      <vt:lpstr>Codes23</vt:lpstr>
      <vt:lpstr>Codes24</vt:lpstr>
      <vt:lpstr>Codes25</vt:lpstr>
      <vt:lpstr>Codes26</vt:lpstr>
      <vt:lpstr>Codes27</vt:lpstr>
      <vt:lpstr>Codes28</vt:lpstr>
      <vt:lpstr>Codes29</vt:lpstr>
      <vt:lpstr>Codes30</vt:lpstr>
      <vt:lpstr>Codes31</vt:lpstr>
      <vt:lpstr>Codes32</vt:lpstr>
      <vt:lpstr>Currency</vt:lpstr>
      <vt:lpstr>Eps</vt:lpstr>
      <vt:lpstr>List02</vt:lpstr>
      <vt:lpstr>List05</vt:lpstr>
      <vt:lpstr>List06</vt:lpstr>
      <vt:lpstr>List07</vt:lpstr>
      <vt:lpstr>List08</vt:lpstr>
      <vt:lpstr>List09</vt:lpstr>
      <vt:lpstr>List10</vt:lpstr>
      <vt:lpstr>List11</vt:lpstr>
      <vt:lpstr>List12</vt:lpstr>
      <vt:lpstr>List13</vt:lpstr>
      <vt:lpstr>Name</vt:lpstr>
      <vt:lpstr>Number</vt:lpstr>
      <vt:lpstr>Crew!Print_Area</vt:lpstr>
      <vt:lpstr>Detail!Print_Area</vt:lpstr>
      <vt:lpstr>Personnel!Print_Area</vt:lpstr>
      <vt:lpstr>Totals!Print_Area</vt:lpstr>
      <vt:lpstr>SubCode</vt:lpstr>
    </vt:vector>
  </TitlesOfParts>
  <Company>ITV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HP</cp:lastModifiedBy>
  <cp:lastPrinted>2011-08-11T15:44:30Z</cp:lastPrinted>
  <dcterms:created xsi:type="dcterms:W3CDTF">2011-07-04T16:05:06Z</dcterms:created>
  <dcterms:modified xsi:type="dcterms:W3CDTF">2014-02-11T21:16:40Z</dcterms:modified>
</cp:coreProperties>
</file>